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ivehhsse-my.sharepoint.com/personal/26331_student_hhs_se/Documents/Equity Research Case/"/>
    </mc:Choice>
  </mc:AlternateContent>
  <xr:revisionPtr revIDLastSave="12" documentId="11_24B1423B8501E4DA5B7646AEAAE77493757DC455" xr6:coauthVersionLast="47" xr6:coauthVersionMax="47" xr10:uidLastSave="{BD21D1E6-DBA1-4877-B33B-772BAEB092F1}"/>
  <bookViews>
    <workbookView minimized="1" xWindow="340" yWindow="800" windowWidth="12090" windowHeight="8170" tabRatio="500" xr2:uid="{00000000-000D-0000-FFFF-FFFF00000000}"/>
  </bookViews>
  <sheets>
    <sheet name="README" sheetId="1" r:id="rId1"/>
    <sheet name="Valuation" sheetId="11" r:id="rId2"/>
    <sheet name="DCF" sheetId="10" r:id="rId3"/>
    <sheet name="Forecast" sheetId="7" r:id="rId4"/>
    <sheet name="Market_WACC" sheetId="5" r:id="rId5"/>
    <sheet name="WACC" sheetId="9" r:id="rId6"/>
    <sheet name="Comps" sheetId="8" r:id="rId7"/>
    <sheet name="Peers" sheetId="6" r:id="rId8"/>
    <sheet name="Historical_5Y" sheetId="2" r:id="rId9"/>
    <sheet name="Historical_Drivers" sheetId="3" r:id="rId10"/>
    <sheet name="Industry_Evidence" sheetId="4" r:id="rId11"/>
    <sheet name="Reference_Data" sheetId="13" r:id="rId12"/>
    <sheet name="Model_Review" sheetId="12" r:id="rId13"/>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6" i="13" l="1"/>
  <c r="D36" i="13"/>
  <c r="C36" i="13"/>
  <c r="I20" i="13"/>
  <c r="H20" i="13"/>
  <c r="G20" i="13"/>
  <c r="F20" i="13"/>
  <c r="E20" i="13"/>
  <c r="D20" i="13"/>
  <c r="C20" i="13"/>
  <c r="I13" i="13"/>
  <c r="I21" i="13" s="1"/>
  <c r="H13" i="13"/>
  <c r="H21" i="13" s="1"/>
  <c r="G13" i="13"/>
  <c r="G21" i="13" s="1"/>
  <c r="F13" i="13"/>
  <c r="F21" i="13" s="1"/>
  <c r="E13" i="13"/>
  <c r="E21" i="13" s="1"/>
  <c r="D13" i="13"/>
  <c r="D21" i="13" s="1"/>
  <c r="C13" i="13"/>
  <c r="C21" i="13" s="1"/>
  <c r="D81" i="12"/>
  <c r="D68" i="12"/>
  <c r="D48" i="12"/>
  <c r="D74" i="11"/>
  <c r="C74" i="11"/>
  <c r="B74" i="11"/>
  <c r="G30" i="11"/>
  <c r="F30" i="11"/>
  <c r="E30" i="11"/>
  <c r="D30" i="11"/>
  <c r="C30" i="11"/>
  <c r="G22" i="11"/>
  <c r="F22" i="11"/>
  <c r="E22" i="11"/>
  <c r="D22" i="11"/>
  <c r="C22" i="11"/>
  <c r="D20" i="11"/>
  <c r="C20" i="11"/>
  <c r="B20" i="11"/>
  <c r="B10" i="11"/>
  <c r="B8" i="11"/>
  <c r="I62" i="10"/>
  <c r="B59" i="10"/>
  <c r="I59" i="10" s="1"/>
  <c r="I57" i="10"/>
  <c r="B34" i="10"/>
  <c r="B32" i="10"/>
  <c r="B31" i="10"/>
  <c r="B30" i="10"/>
  <c r="H19" i="10"/>
  <c r="G19" i="10"/>
  <c r="F19" i="10"/>
  <c r="E19" i="10"/>
  <c r="D19" i="10"/>
  <c r="B16" i="10"/>
  <c r="B14" i="10"/>
  <c r="B13" i="10"/>
  <c r="B6" i="10"/>
  <c r="B5" i="10"/>
  <c r="B14" i="9"/>
  <c r="B13" i="9"/>
  <c r="B9" i="9"/>
  <c r="B11" i="9" s="1"/>
  <c r="B8" i="9"/>
  <c r="B7" i="9"/>
  <c r="B6" i="9"/>
  <c r="D45" i="8"/>
  <c r="E45" i="8" s="1"/>
  <c r="C45" i="8"/>
  <c r="B45" i="8"/>
  <c r="A45" i="8"/>
  <c r="D44" i="8"/>
  <c r="E44" i="8" s="1"/>
  <c r="C44" i="8"/>
  <c r="B44" i="8"/>
  <c r="A44" i="8"/>
  <c r="D43" i="8"/>
  <c r="E43" i="8" s="1"/>
  <c r="C43" i="8"/>
  <c r="B43" i="8"/>
  <c r="A43" i="8"/>
  <c r="D42" i="8"/>
  <c r="E42" i="8" s="1"/>
  <c r="C42" i="8"/>
  <c r="B42" i="8"/>
  <c r="A42" i="8"/>
  <c r="F30" i="8"/>
  <c r="C22" i="8"/>
  <c r="C20" i="8"/>
  <c r="C17" i="8"/>
  <c r="C21" i="8" s="1"/>
  <c r="N10" i="8"/>
  <c r="L10" i="8"/>
  <c r="C10" i="8"/>
  <c r="B10" i="8"/>
  <c r="A10" i="8"/>
  <c r="N9" i="8"/>
  <c r="L9" i="8"/>
  <c r="C9" i="8"/>
  <c r="B9" i="8"/>
  <c r="A9" i="8"/>
  <c r="N8" i="8"/>
  <c r="N11" i="8" s="1"/>
  <c r="L8" i="8"/>
  <c r="B8" i="8"/>
  <c r="A8" i="8"/>
  <c r="N7" i="8"/>
  <c r="L7" i="8"/>
  <c r="C7" i="8"/>
  <c r="B7" i="8"/>
  <c r="A7" i="8"/>
  <c r="N6" i="8"/>
  <c r="L6" i="8"/>
  <c r="C6" i="8"/>
  <c r="B6" i="8"/>
  <c r="B41" i="8" s="1"/>
  <c r="A6" i="8"/>
  <c r="A41" i="8" s="1"/>
  <c r="C48" i="7"/>
  <c r="C46" i="7"/>
  <c r="C49" i="7" s="1"/>
  <c r="H41" i="7"/>
  <c r="G41" i="7"/>
  <c r="F41" i="7"/>
  <c r="E41" i="7"/>
  <c r="D41" i="7"/>
  <c r="C41" i="7"/>
  <c r="H36" i="7"/>
  <c r="G36" i="7"/>
  <c r="F36" i="7"/>
  <c r="E36" i="7"/>
  <c r="D36" i="7"/>
  <c r="C31" i="7"/>
  <c r="C30" i="7"/>
  <c r="D30" i="7" s="1"/>
  <c r="E30" i="7" s="1"/>
  <c r="F30" i="7" s="1"/>
  <c r="G30" i="7" s="1"/>
  <c r="H30" i="7" s="1"/>
  <c r="C29" i="7"/>
  <c r="C26" i="7"/>
  <c r="D26" i="7" s="1"/>
  <c r="E26" i="7" s="1"/>
  <c r="F26" i="7" s="1"/>
  <c r="G26" i="7" s="1"/>
  <c r="H26" i="7" s="1"/>
  <c r="C24" i="7"/>
  <c r="C22" i="7"/>
  <c r="H20" i="7"/>
  <c r="G20" i="7"/>
  <c r="F20" i="7"/>
  <c r="E20" i="7"/>
  <c r="D20" i="7"/>
  <c r="B33" i="6"/>
  <c r="A33" i="6"/>
  <c r="B32" i="6"/>
  <c r="A32" i="6"/>
  <c r="B31" i="6"/>
  <c r="A31" i="6"/>
  <c r="B30" i="6"/>
  <c r="A30" i="6"/>
  <c r="B29" i="6"/>
  <c r="A29" i="6"/>
  <c r="C24" i="6"/>
  <c r="B62" i="11" s="1"/>
  <c r="J13" i="6"/>
  <c r="C13" i="6"/>
  <c r="J9" i="6"/>
  <c r="H9" i="6"/>
  <c r="G9" i="6"/>
  <c r="E9" i="6"/>
  <c r="F9" i="6" s="1"/>
  <c r="J8" i="6"/>
  <c r="H8" i="6"/>
  <c r="G8" i="6"/>
  <c r="E8" i="6"/>
  <c r="F8" i="6" s="1"/>
  <c r="J7" i="6"/>
  <c r="H7" i="6"/>
  <c r="G7" i="6"/>
  <c r="E7" i="6"/>
  <c r="J6" i="6"/>
  <c r="H6" i="6"/>
  <c r="G6" i="6"/>
  <c r="E6" i="6"/>
  <c r="F6" i="6" s="1"/>
  <c r="J5" i="6"/>
  <c r="H5" i="6"/>
  <c r="G5" i="6"/>
  <c r="E5" i="6"/>
  <c r="B34" i="5"/>
  <c r="B17" i="5"/>
  <c r="B12" i="11" s="1"/>
  <c r="B9" i="5"/>
  <c r="D50" i="3"/>
  <c r="C50" i="3"/>
  <c r="F48" i="3"/>
  <c r="E48" i="3"/>
  <c r="D48" i="3"/>
  <c r="C48" i="3"/>
  <c r="F47" i="3"/>
  <c r="F49" i="3" s="1"/>
  <c r="F51" i="3" s="1"/>
  <c r="E47" i="3"/>
  <c r="E49" i="3" s="1"/>
  <c r="D47" i="3"/>
  <c r="D49" i="3" s="1"/>
  <c r="D51" i="3" s="1"/>
  <c r="C47" i="3"/>
  <c r="C49" i="3" s="1"/>
  <c r="C51" i="3" s="1"/>
  <c r="D45" i="3"/>
  <c r="C45" i="3"/>
  <c r="F43" i="3"/>
  <c r="E43" i="3"/>
  <c r="D43" i="3"/>
  <c r="C43" i="3"/>
  <c r="F42" i="3"/>
  <c r="F44" i="3" s="1"/>
  <c r="E42" i="3"/>
  <c r="E44" i="3" s="1"/>
  <c r="D42" i="3"/>
  <c r="D44" i="3" s="1"/>
  <c r="D46" i="3" s="1"/>
  <c r="C42" i="3"/>
  <c r="C44" i="3" s="1"/>
  <c r="C46" i="3" s="1"/>
  <c r="G38" i="3"/>
  <c r="F38" i="3"/>
  <c r="E38" i="3"/>
  <c r="D38" i="3"/>
  <c r="C38" i="3"/>
  <c r="E36" i="3"/>
  <c r="D36" i="3"/>
  <c r="C36" i="3"/>
  <c r="E33" i="3"/>
  <c r="E34" i="3" s="1"/>
  <c r="D33" i="3"/>
  <c r="D34" i="3" s="1"/>
  <c r="C33" i="3"/>
  <c r="C34" i="3" s="1"/>
  <c r="E31" i="3"/>
  <c r="E32" i="3" s="1"/>
  <c r="D31" i="3"/>
  <c r="D32" i="3" s="1"/>
  <c r="C31" i="3"/>
  <c r="C32" i="3" s="1"/>
  <c r="G28" i="3"/>
  <c r="F28" i="3"/>
  <c r="E28" i="3"/>
  <c r="D28" i="3"/>
  <c r="G27" i="3"/>
  <c r="F27" i="3"/>
  <c r="E27" i="3"/>
  <c r="D27" i="3"/>
  <c r="C27" i="3"/>
  <c r="E25" i="3"/>
  <c r="D25" i="3"/>
  <c r="C25" i="3"/>
  <c r="E24" i="3"/>
  <c r="D24" i="3"/>
  <c r="C24" i="3"/>
  <c r="E23" i="3"/>
  <c r="D23" i="3"/>
  <c r="C23" i="3"/>
  <c r="E22" i="3"/>
  <c r="D22" i="3"/>
  <c r="C22" i="3"/>
  <c r="E21" i="3"/>
  <c r="D21" i="3"/>
  <c r="C21" i="3"/>
  <c r="E20" i="3"/>
  <c r="D20" i="3"/>
  <c r="C20" i="3"/>
  <c r="E14" i="3"/>
  <c r="D14" i="3"/>
  <c r="C14" i="3"/>
  <c r="E13" i="3"/>
  <c r="D13" i="3"/>
  <c r="C13" i="3"/>
  <c r="E12" i="3"/>
  <c r="D12" i="3"/>
  <c r="E10" i="3"/>
  <c r="E11" i="3" s="1"/>
  <c r="D10" i="3"/>
  <c r="D11" i="3" s="1"/>
  <c r="C10" i="3"/>
  <c r="F9" i="3"/>
  <c r="E9" i="3"/>
  <c r="D9" i="3"/>
  <c r="C9" i="3"/>
  <c r="F8" i="3"/>
  <c r="E8" i="3"/>
  <c r="D8" i="3"/>
  <c r="C8" i="3"/>
  <c r="G7" i="3"/>
  <c r="F7" i="3"/>
  <c r="E7" i="3"/>
  <c r="D7" i="3"/>
  <c r="C7" i="3"/>
  <c r="G6" i="3"/>
  <c r="F6" i="3"/>
  <c r="E6" i="3"/>
  <c r="D6" i="3"/>
  <c r="C6" i="3"/>
  <c r="G46" i="2"/>
  <c r="F46" i="2"/>
  <c r="E46" i="2"/>
  <c r="E49" i="2" s="1"/>
  <c r="C37" i="3" s="1"/>
  <c r="D46" i="2"/>
  <c r="D49" i="2" s="1"/>
  <c r="C46" i="2"/>
  <c r="C49" i="2" s="1"/>
  <c r="G41" i="2"/>
  <c r="F41" i="2"/>
  <c r="E41" i="2"/>
  <c r="D41" i="2"/>
  <c r="C41" i="2"/>
  <c r="H40" i="2"/>
  <c r="G38" i="2"/>
  <c r="G39" i="2" s="1"/>
  <c r="F38" i="2"/>
  <c r="F39" i="2" s="1"/>
  <c r="E38" i="2"/>
  <c r="E39" i="2" s="1"/>
  <c r="D38" i="2"/>
  <c r="D39" i="2" s="1"/>
  <c r="C38" i="2"/>
  <c r="C39" i="2" s="1"/>
  <c r="H36" i="2"/>
  <c r="G33" i="2"/>
  <c r="F33" i="2"/>
  <c r="F34" i="2" s="1"/>
  <c r="E33" i="2"/>
  <c r="E34" i="2" s="1"/>
  <c r="D33" i="2"/>
  <c r="D34" i="2" s="1"/>
  <c r="C33" i="2"/>
  <c r="C34" i="2" s="1"/>
  <c r="H32" i="2"/>
  <c r="H31" i="2"/>
  <c r="G28" i="2"/>
  <c r="F28" i="2"/>
  <c r="E28" i="2"/>
  <c r="D28" i="2"/>
  <c r="H27" i="2"/>
  <c r="H26" i="2"/>
  <c r="G23" i="2"/>
  <c r="H23" i="2" s="1"/>
  <c r="F23" i="2"/>
  <c r="E23" i="2"/>
  <c r="D23" i="2"/>
  <c r="C23" i="2"/>
  <c r="H22" i="2"/>
  <c r="G21" i="2"/>
  <c r="F21" i="2"/>
  <c r="E21" i="2"/>
  <c r="D21" i="2"/>
  <c r="H19" i="2"/>
  <c r="H18" i="2"/>
  <c r="H15" i="2"/>
  <c r="G9" i="2"/>
  <c r="F9" i="2"/>
  <c r="E9" i="2"/>
  <c r="D9" i="2"/>
  <c r="C9" i="2"/>
  <c r="H8" i="2"/>
  <c r="H7" i="2"/>
  <c r="H6" i="2"/>
  <c r="B19" i="4"/>
  <c r="I24" i="13" l="1"/>
  <c r="I26" i="13" s="1"/>
  <c r="I34" i="13"/>
  <c r="H24" i="13"/>
  <c r="H26" i="13" s="1"/>
  <c r="H34" i="13"/>
  <c r="G24" i="13"/>
  <c r="G26" i="13" s="1"/>
  <c r="G34" i="13"/>
  <c r="F24" i="13"/>
  <c r="F26" i="13" s="1"/>
  <c r="F34" i="13"/>
  <c r="E24" i="13"/>
  <c r="E26" i="13" s="1"/>
  <c r="E34" i="13"/>
  <c r="D24" i="13"/>
  <c r="D26" i="13" s="1"/>
  <c r="D34" i="13"/>
  <c r="C24" i="13"/>
  <c r="C26" i="13" s="1"/>
  <c r="C34" i="13"/>
  <c r="H24" i="10"/>
  <c r="H25" i="10" s="1"/>
  <c r="H22" i="10"/>
  <c r="B38" i="10"/>
  <c r="G22" i="10"/>
  <c r="G24" i="10"/>
  <c r="G25" i="10" s="1"/>
  <c r="F22" i="10"/>
  <c r="F24" i="10"/>
  <c r="F25" i="10" s="1"/>
  <c r="E22" i="10"/>
  <c r="E24" i="10"/>
  <c r="E25" i="10" s="1"/>
  <c r="D22" i="10"/>
  <c r="D24" i="10"/>
  <c r="D25" i="10" s="1"/>
  <c r="B47" i="10"/>
  <c r="C24" i="8"/>
  <c r="C25" i="8"/>
  <c r="B15" i="10"/>
  <c r="B61" i="9"/>
  <c r="B20" i="9"/>
  <c r="B25" i="9" s="1"/>
  <c r="B31" i="9"/>
  <c r="B32" i="9" s="1"/>
  <c r="B49" i="9" s="1"/>
  <c r="B60" i="10"/>
  <c r="I60" i="10" s="1"/>
  <c r="L11" i="8"/>
  <c r="B62" i="9" s="1"/>
  <c r="C41" i="8"/>
  <c r="C47" i="8" s="1"/>
  <c r="N14" i="8"/>
  <c r="N13" i="8"/>
  <c r="N12" i="8"/>
  <c r="L15" i="8"/>
  <c r="L14" i="8"/>
  <c r="L13" i="8"/>
  <c r="L12" i="8"/>
  <c r="C23" i="7"/>
  <c r="C25" i="7"/>
  <c r="G13" i="6"/>
  <c r="H13" i="6"/>
  <c r="I9" i="6"/>
  <c r="E10" i="8" s="1"/>
  <c r="D10" i="8"/>
  <c r="I8" i="6"/>
  <c r="E9" i="8" s="1"/>
  <c r="D9" i="8"/>
  <c r="C8" i="8"/>
  <c r="F7" i="6"/>
  <c r="I6" i="6"/>
  <c r="E7" i="8" s="1"/>
  <c r="D7" i="8"/>
  <c r="J12" i="6"/>
  <c r="J11" i="6"/>
  <c r="J10" i="6"/>
  <c r="H11" i="6"/>
  <c r="H10" i="6"/>
  <c r="H12" i="6"/>
  <c r="D41" i="8"/>
  <c r="G11" i="6"/>
  <c r="G10" i="6"/>
  <c r="G12" i="6"/>
  <c r="E11" i="6"/>
  <c r="F5" i="6"/>
  <c r="E12" i="6"/>
  <c r="E10" i="6"/>
  <c r="E13" i="6"/>
  <c r="F13" i="6" s="1"/>
  <c r="I13" i="6" s="1"/>
  <c r="B31" i="5"/>
  <c r="B33" i="5" s="1"/>
  <c r="E19" i="3"/>
  <c r="E15" i="3"/>
  <c r="D15" i="3"/>
  <c r="D19" i="3"/>
  <c r="C19" i="3"/>
  <c r="C15" i="3"/>
  <c r="C26" i="3" s="1"/>
  <c r="G48" i="2"/>
  <c r="B32" i="5" s="1"/>
  <c r="G49" i="2"/>
  <c r="E37" i="3" s="1"/>
  <c r="F48" i="2"/>
  <c r="F49" i="2"/>
  <c r="D37" i="3" s="1"/>
  <c r="G34" i="2"/>
  <c r="H33" i="2"/>
  <c r="G10" i="2"/>
  <c r="C21" i="7"/>
  <c r="G11" i="2"/>
  <c r="G12" i="2"/>
  <c r="C20" i="7" s="1"/>
  <c r="G17" i="2"/>
  <c r="G35" i="2"/>
  <c r="H9" i="2"/>
  <c r="F10" i="2"/>
  <c r="F11" i="2"/>
  <c r="F12" i="2"/>
  <c r="F17" i="2"/>
  <c r="F35" i="2"/>
  <c r="E10" i="2"/>
  <c r="E11" i="2"/>
  <c r="E12" i="2"/>
  <c r="E17" i="2"/>
  <c r="E35" i="2"/>
  <c r="D10" i="2"/>
  <c r="D12" i="2"/>
  <c r="D17" i="2"/>
  <c r="D11" i="2"/>
  <c r="D35" i="2"/>
  <c r="C11" i="2"/>
  <c r="C10" i="2"/>
  <c r="C17" i="2"/>
  <c r="C35" i="2"/>
  <c r="B12" i="9"/>
  <c r="I28" i="13" l="1"/>
  <c r="I35" i="13"/>
  <c r="H28" i="13"/>
  <c r="H35" i="13"/>
  <c r="G28" i="13"/>
  <c r="G35" i="13"/>
  <c r="F28" i="13"/>
  <c r="F35" i="13"/>
  <c r="E28" i="13"/>
  <c r="E35" i="13"/>
  <c r="D28" i="13"/>
  <c r="D35" i="13"/>
  <c r="C28" i="13"/>
  <c r="C35" i="13"/>
  <c r="D71" i="11"/>
  <c r="B49" i="10"/>
  <c r="C71" i="11"/>
  <c r="B71" i="11"/>
  <c r="B60" i="9"/>
  <c r="G14" i="6"/>
  <c r="G15" i="6"/>
  <c r="D46" i="8"/>
  <c r="H14" i="6"/>
  <c r="H15" i="6"/>
  <c r="C46" i="8"/>
  <c r="F10" i="8"/>
  <c r="H10" i="8"/>
  <c r="F9" i="8"/>
  <c r="H9" i="8"/>
  <c r="I7" i="6"/>
  <c r="E8" i="8" s="1"/>
  <c r="D8" i="8"/>
  <c r="F7" i="8"/>
  <c r="H7" i="8"/>
  <c r="E41" i="8"/>
  <c r="E47" i="8" s="1"/>
  <c r="D47" i="8"/>
  <c r="I5" i="6"/>
  <c r="F10" i="6"/>
  <c r="F11" i="6"/>
  <c r="F12" i="6"/>
  <c r="D6" i="8"/>
  <c r="E16" i="3"/>
  <c r="E26" i="3"/>
  <c r="D26" i="3"/>
  <c r="D16" i="3"/>
  <c r="C45" i="7"/>
  <c r="D21" i="7"/>
  <c r="B15" i="9"/>
  <c r="B46" i="9" s="1"/>
  <c r="B76" i="9" s="1"/>
  <c r="D37" i="8"/>
  <c r="F46" i="8" s="1"/>
  <c r="B35" i="9"/>
  <c r="I10" i="8" l="1"/>
  <c r="F45" i="8" s="1"/>
  <c r="J10" i="8"/>
  <c r="K10" i="8" s="1"/>
  <c r="I9" i="8"/>
  <c r="F44" i="8" s="1"/>
  <c r="J9" i="8"/>
  <c r="K9" i="8" s="1"/>
  <c r="F8" i="8"/>
  <c r="H8" i="8"/>
  <c r="I7" i="8"/>
  <c r="F42" i="8" s="1"/>
  <c r="J7" i="8"/>
  <c r="K7" i="8" s="1"/>
  <c r="I10" i="6"/>
  <c r="I14" i="6" s="1"/>
  <c r="I11" i="6"/>
  <c r="I12" i="6"/>
  <c r="I15" i="6" s="1"/>
  <c r="E6" i="8"/>
  <c r="F6" i="8" s="1"/>
  <c r="H6" i="8"/>
  <c r="D45" i="7"/>
  <c r="E21" i="7"/>
  <c r="D22" i="7"/>
  <c r="D24" i="7"/>
  <c r="D40" i="7" s="1"/>
  <c r="D42" i="7"/>
  <c r="D20" i="10"/>
  <c r="B75" i="9"/>
  <c r="C61" i="9"/>
  <c r="C63" i="9"/>
  <c r="C62" i="9"/>
  <c r="B36" i="9"/>
  <c r="E46" i="8"/>
  <c r="M10" i="8" l="1"/>
  <c r="O10" i="8"/>
  <c r="M9" i="8"/>
  <c r="O9" i="8"/>
  <c r="I8" i="8"/>
  <c r="F43" i="8" s="1"/>
  <c r="J8" i="8"/>
  <c r="K8" i="8" s="1"/>
  <c r="M7" i="8"/>
  <c r="O7" i="8"/>
  <c r="E11" i="8"/>
  <c r="E12" i="8"/>
  <c r="E13" i="8"/>
  <c r="E14" i="8"/>
  <c r="I6" i="8"/>
  <c r="J6" i="8"/>
  <c r="K6" i="8" s="1"/>
  <c r="E45" i="7"/>
  <c r="F21" i="7"/>
  <c r="E22" i="7"/>
  <c r="E24" i="7"/>
  <c r="E40" i="7" s="1"/>
  <c r="E42" i="7"/>
  <c r="E20" i="10"/>
  <c r="D23" i="7"/>
  <c r="D25" i="7"/>
  <c r="D27" i="7"/>
  <c r="D35" i="7"/>
  <c r="D37" i="7" s="1"/>
  <c r="C60" i="9"/>
  <c r="M8" i="8" l="1"/>
  <c r="O8" i="8"/>
  <c r="E30" i="8"/>
  <c r="D19" i="11" s="1"/>
  <c r="C30" i="8"/>
  <c r="B19" i="11" s="1"/>
  <c r="I11" i="8"/>
  <c r="I12" i="8"/>
  <c r="I13" i="8"/>
  <c r="I14" i="8"/>
  <c r="D30" i="8" s="1"/>
  <c r="C19" i="11" s="1"/>
  <c r="F41" i="8"/>
  <c r="F47" i="8" s="1"/>
  <c r="M6" i="8"/>
  <c r="O6" i="8"/>
  <c r="K11" i="8"/>
  <c r="K12" i="8"/>
  <c r="K13" i="8"/>
  <c r="K14" i="8"/>
  <c r="K15" i="8"/>
  <c r="F45" i="7"/>
  <c r="G21" i="7"/>
  <c r="F22" i="7"/>
  <c r="F24" i="7"/>
  <c r="F40" i="7" s="1"/>
  <c r="F42" i="7"/>
  <c r="F20" i="10"/>
  <c r="E23" i="7"/>
  <c r="E25" i="7"/>
  <c r="D35" i="8" s="1"/>
  <c r="E27" i="7"/>
  <c r="E35" i="7"/>
  <c r="E37" i="7" s="1"/>
  <c r="D28" i="7"/>
  <c r="D29" i="7"/>
  <c r="D38" i="7"/>
  <c r="D39" i="7" s="1"/>
  <c r="D43" i="7" s="1"/>
  <c r="B57" i="9" l="1"/>
  <c r="C57" i="9" s="1"/>
  <c r="B57" i="11" s="1"/>
  <c r="B45" i="9"/>
  <c r="B47" i="9" s="1"/>
  <c r="M15" i="8"/>
  <c r="M14" i="8"/>
  <c r="M13" i="8"/>
  <c r="M12" i="8"/>
  <c r="M11" i="8"/>
  <c r="B21" i="9" s="1"/>
  <c r="O11" i="8"/>
  <c r="B23" i="9" s="1"/>
  <c r="O12" i="8"/>
  <c r="O13" i="8"/>
  <c r="O14" i="8"/>
  <c r="O15" i="8"/>
  <c r="G45" i="7"/>
  <c r="H21" i="7"/>
  <c r="G22" i="7"/>
  <c r="G24" i="7"/>
  <c r="G40" i="7" s="1"/>
  <c r="G42" i="7"/>
  <c r="G20" i="10"/>
  <c r="F23" i="7"/>
  <c r="F25" i="7"/>
  <c r="F27" i="7"/>
  <c r="F35" i="7"/>
  <c r="F37" i="7" s="1"/>
  <c r="E28" i="7"/>
  <c r="E29" i="7"/>
  <c r="E38" i="7"/>
  <c r="E39" i="7" s="1"/>
  <c r="E43" i="7" s="1"/>
  <c r="D31" i="7"/>
  <c r="D48" i="7"/>
  <c r="D46" i="7"/>
  <c r="D21" i="10"/>
  <c r="D23" i="10" s="1"/>
  <c r="B48" i="9" l="1"/>
  <c r="B50" i="9" s="1"/>
  <c r="B56" i="9"/>
  <c r="C56" i="9" s="1"/>
  <c r="B56" i="11" s="1"/>
  <c r="B77" i="9"/>
  <c r="B55" i="9"/>
  <c r="B41" i="9"/>
  <c r="B54" i="9"/>
  <c r="C54" i="9" s="1"/>
  <c r="B55" i="11" s="1"/>
  <c r="B24" i="9"/>
  <c r="B22" i="9"/>
  <c r="H45" i="7"/>
  <c r="H22" i="7"/>
  <c r="H24" i="7"/>
  <c r="H40" i="7" s="1"/>
  <c r="H42" i="7"/>
  <c r="H20" i="10"/>
  <c r="I20" i="10" s="1"/>
  <c r="G23" i="7"/>
  <c r="G25" i="7"/>
  <c r="G27" i="7"/>
  <c r="G35" i="7"/>
  <c r="G37" i="7" s="1"/>
  <c r="F28" i="7"/>
  <c r="F29" i="7"/>
  <c r="F38" i="7"/>
  <c r="F39" i="7"/>
  <c r="F43" i="7" s="1"/>
  <c r="E31" i="7"/>
  <c r="E32" i="7" s="1"/>
  <c r="E48" i="7"/>
  <c r="E44" i="7"/>
  <c r="E46" i="7"/>
  <c r="E21" i="10"/>
  <c r="E23" i="10" s="1"/>
  <c r="C23" i="8"/>
  <c r="D32" i="7"/>
  <c r="D47" i="7"/>
  <c r="D49" i="7"/>
  <c r="B39" i="9" l="1"/>
  <c r="B7" i="10" s="1"/>
  <c r="C55" i="9"/>
  <c r="B54" i="11" s="1"/>
  <c r="B27" i="9"/>
  <c r="B38" i="9" s="1"/>
  <c r="C59" i="9" s="1"/>
  <c r="B59" i="9"/>
  <c r="B26" i="9"/>
  <c r="B37" i="9" s="1"/>
  <c r="B58" i="9"/>
  <c r="B33" i="10"/>
  <c r="B35" i="10" s="1"/>
  <c r="I21" i="10" s="1"/>
  <c r="B55" i="10"/>
  <c r="I55" i="10" s="1"/>
  <c r="H23" i="7"/>
  <c r="B56" i="10" s="1"/>
  <c r="I56" i="10" s="1"/>
  <c r="H25" i="7"/>
  <c r="H27" i="7"/>
  <c r="H35" i="7"/>
  <c r="H37" i="7" s="1"/>
  <c r="G28" i="7"/>
  <c r="G29" i="7"/>
  <c r="G38" i="7"/>
  <c r="G39" i="7"/>
  <c r="G43" i="7" s="1"/>
  <c r="F31" i="7"/>
  <c r="F32" i="7" s="1"/>
  <c r="F48" i="7"/>
  <c r="F44" i="7"/>
  <c r="F46" i="7"/>
  <c r="F21" i="10"/>
  <c r="F23" i="10" s="1"/>
  <c r="E47" i="7"/>
  <c r="E49" i="7"/>
  <c r="E34" i="8"/>
  <c r="C34" i="8"/>
  <c r="D29" i="8"/>
  <c r="B63" i="11"/>
  <c r="B64" i="11" s="1"/>
  <c r="D36" i="8"/>
  <c r="E29" i="8"/>
  <c r="C29" i="8"/>
  <c r="D34" i="8"/>
  <c r="F26" i="10" l="1"/>
  <c r="F27" i="10" s="1"/>
  <c r="H26" i="10"/>
  <c r="B24" i="11"/>
  <c r="E26" i="10"/>
  <c r="E27" i="10" s="1"/>
  <c r="B23" i="11"/>
  <c r="B25" i="11"/>
  <c r="B26" i="11"/>
  <c r="B27" i="11"/>
  <c r="B31" i="11"/>
  <c r="B32" i="11"/>
  <c r="B33" i="11"/>
  <c r="B34" i="11"/>
  <c r="B35" i="11"/>
  <c r="D26" i="10"/>
  <c r="D27" i="10" s="1"/>
  <c r="G26" i="10"/>
  <c r="B37" i="10"/>
  <c r="B40" i="9"/>
  <c r="C40" i="9"/>
  <c r="C64" i="9"/>
  <c r="B58" i="11" s="1"/>
  <c r="C58" i="9"/>
  <c r="H28" i="7"/>
  <c r="H29" i="7" s="1"/>
  <c r="H38" i="7"/>
  <c r="H39" i="7"/>
  <c r="H43" i="7" s="1"/>
  <c r="G31" i="7"/>
  <c r="G32" i="7" s="1"/>
  <c r="G48" i="7"/>
  <c r="G44" i="7"/>
  <c r="G46" i="7"/>
  <c r="G21" i="10"/>
  <c r="G23" i="10" s="1"/>
  <c r="F47" i="7"/>
  <c r="F49" i="7"/>
  <c r="C18" i="11"/>
  <c r="D31" i="8"/>
  <c r="E31" i="8"/>
  <c r="D18" i="11"/>
  <c r="C31" i="8"/>
  <c r="B18" i="11"/>
  <c r="B40" i="10" l="1"/>
  <c r="B39" i="10"/>
  <c r="B44" i="10" s="1"/>
  <c r="H31" i="7"/>
  <c r="H32" i="7" s="1"/>
  <c r="H48" i="7"/>
  <c r="H44" i="7"/>
  <c r="B57" i="10" s="1"/>
  <c r="H46" i="7"/>
  <c r="H21" i="10"/>
  <c r="G47" i="7"/>
  <c r="G49" i="7"/>
  <c r="G27" i="10"/>
  <c r="D89" i="12"/>
  <c r="B75" i="11"/>
  <c r="C75" i="11"/>
  <c r="D75" i="11"/>
  <c r="B6" i="11"/>
  <c r="B85" i="11" s="1"/>
  <c r="B61" i="10" l="1"/>
  <c r="I61" i="10" s="1"/>
  <c r="B62" i="10"/>
  <c r="H47" i="7"/>
  <c r="H49" i="7"/>
  <c r="B36" i="10"/>
  <c r="B58" i="10" s="1"/>
  <c r="I58" i="10" s="1"/>
  <c r="H23" i="10"/>
  <c r="C54" i="11" l="1"/>
  <c r="D54" i="11" s="1"/>
  <c r="E25" i="11"/>
  <c r="D23" i="11"/>
  <c r="C57" i="11"/>
  <c r="D57" i="11" s="1"/>
  <c r="E57" i="11" s="1"/>
  <c r="F57" i="11" s="1"/>
  <c r="G57" i="11" s="1"/>
  <c r="G35" i="11"/>
  <c r="E35" i="11"/>
  <c r="D35" i="11"/>
  <c r="C35" i="11"/>
  <c r="G34" i="11"/>
  <c r="F34" i="11"/>
  <c r="F35" i="11"/>
  <c r="E34" i="11"/>
  <c r="C86" i="11" s="1"/>
  <c r="D34" i="11"/>
  <c r="C34" i="11"/>
  <c r="G33" i="11"/>
  <c r="F33" i="11"/>
  <c r="E33" i="11"/>
  <c r="D33" i="11"/>
  <c r="C33" i="11"/>
  <c r="G32" i="11"/>
  <c r="F32" i="11"/>
  <c r="E32" i="11"/>
  <c r="B86" i="11" s="1"/>
  <c r="D32" i="11"/>
  <c r="F31" i="11"/>
  <c r="E31" i="11"/>
  <c r="D31" i="11"/>
  <c r="C31" i="11"/>
  <c r="G31" i="11"/>
  <c r="C27" i="11"/>
  <c r="F27" i="11"/>
  <c r="E27" i="11"/>
  <c r="D27" i="11"/>
  <c r="G26" i="11"/>
  <c r="F26" i="11"/>
  <c r="E26" i="11"/>
  <c r="C87" i="11" s="1"/>
  <c r="D26" i="11"/>
  <c r="C26" i="11"/>
  <c r="G25" i="11"/>
  <c r="F25" i="11"/>
  <c r="G27" i="11"/>
  <c r="C25" i="11"/>
  <c r="C23" i="11"/>
  <c r="E23" i="11"/>
  <c r="C32" i="11"/>
  <c r="D25" i="11"/>
  <c r="G23" i="11"/>
  <c r="F23" i="11"/>
  <c r="G24" i="11"/>
  <c r="F24" i="11"/>
  <c r="E24" i="11"/>
  <c r="B87" i="11" s="1"/>
  <c r="D24" i="11"/>
  <c r="C24" i="11"/>
  <c r="C55" i="11"/>
  <c r="D55" i="11" s="1"/>
  <c r="E55" i="11" s="1"/>
  <c r="F55" i="11" s="1"/>
  <c r="G55" i="11" s="1"/>
  <c r="C56" i="11"/>
  <c r="D56" i="11" s="1"/>
  <c r="E56" i="11" s="1"/>
  <c r="F56" i="11" s="1"/>
  <c r="G56" i="11" s="1"/>
  <c r="C58" i="11"/>
  <c r="D58" i="11" s="1"/>
  <c r="E58" i="11" s="1"/>
  <c r="F58" i="11" s="1"/>
  <c r="G58" i="11" s="1"/>
  <c r="H27" i="10"/>
  <c r="B43" i="10" s="1"/>
  <c r="E54" i="11" l="1"/>
  <c r="F54" i="11" s="1"/>
  <c r="G54" i="11" s="1"/>
  <c r="D17" i="11"/>
  <c r="B17" i="11"/>
  <c r="B45" i="10"/>
  <c r="B81" i="11"/>
  <c r="B46" i="10" l="1"/>
  <c r="D72" i="11"/>
  <c r="D76" i="11" s="1"/>
  <c r="D77" i="11" s="1"/>
  <c r="B72" i="11"/>
  <c r="B76" i="11" s="1"/>
  <c r="C72" i="11"/>
  <c r="C76" i="11" s="1"/>
  <c r="C77" i="11" s="1"/>
  <c r="B48" i="10"/>
  <c r="B50" i="10" s="1"/>
  <c r="B79" i="11" l="1"/>
  <c r="B77" i="11"/>
  <c r="B51" i="10"/>
  <c r="B5" i="11"/>
  <c r="C17" i="11"/>
  <c r="B45" i="11" l="1"/>
  <c r="B9" i="11"/>
  <c r="B91" i="11"/>
  <c r="C91" i="11" s="1"/>
  <c r="B90" i="11"/>
  <c r="C90" i="11" s="1"/>
  <c r="D90" i="12"/>
  <c r="B59" i="11" l="1"/>
  <c r="B46" i="11"/>
  <c r="B11" i="11"/>
  <c r="B13" i="11" s="1"/>
  <c r="B14" i="11" s="1"/>
  <c r="B66" i="11"/>
  <c r="B92" i="11"/>
  <c r="C92" i="11" s="1"/>
  <c r="D91" i="12"/>
  <c r="D9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7" authorId="0" shapeId="0" xr:uid="{00000000-0006-0000-0100-000001000000}">
      <text>
        <r>
          <rPr>
            <sz val="10"/>
            <rFont val="Arial"/>
            <family val="2"/>
          </rPr>
          <t>FY2022 drop reflects the sale of the Russian business (855 restaurants closed).</t>
        </r>
      </text>
    </comment>
    <comment ref="A15" authorId="0" shapeId="0" xr:uid="{00000000-0006-0000-0100-000002000000}">
      <text>
        <r>
          <rPr>
            <sz val="10"/>
            <rFont val="Arial"/>
            <family val="2"/>
          </rPr>
          <t>FY2021 includes $339m Japan stock gains; FY2022 includes $1,281m Russia charge less $271m Dynamic Yield gain.</t>
        </r>
      </text>
    </comment>
    <comment ref="A37" authorId="0" shapeId="0" xr:uid="{00000000-0006-0000-0100-000003000000}">
      <text>
        <r>
          <rPr>
            <sz val="10"/>
            <rFont val="Arial"/>
            <family val="2"/>
          </rPr>
          <t>Cash-flow basis. The equity-statement figure differs slightly by timing (e.g. FY23 $3,105m, FY24 $2,826m).</t>
        </r>
      </text>
    </comment>
    <comment ref="A45" authorId="0" shapeId="0" xr:uid="{00000000-0006-0000-0100-000004000000}">
      <text>
        <r>
          <rPr>
            <sz val="10"/>
            <rFont val="Arial"/>
            <family val="2"/>
          </rPr>
          <t>FY23 includes $2.19bn current maturities; FY24-25 balance sheets show no current debt line.</t>
        </r>
      </text>
    </comment>
  </commentList>
</comments>
</file>

<file path=xl/sharedStrings.xml><?xml version="1.0" encoding="utf-8"?>
<sst xmlns="http://schemas.openxmlformats.org/spreadsheetml/2006/main" count="1715" uniqueCount="1142">
  <si>
    <t>McDonald's (MCD) equity research model - v6</t>
  </si>
  <si>
    <t>Purpose</t>
  </si>
  <si>
    <t>Valuation model behind the equity research report: Hold, target $249 (DCF 60% / franchise-heavy comps 40%). Every market input is the official 24-Sep-2026 close.</t>
  </si>
  <si>
    <t>Model flow</t>
  </si>
  <si>
    <t>Reference_Data and Historical_5Y -&gt; Forecast -&gt; DCF. Market_WACC and Peers -&gt; Comps -&gt; WACC (bottom-up beta) -&gt; DCF. DCF and Comps -&gt; Valuation (target, rating, sensitivities).</t>
  </si>
  <si>
    <t>How to use</t>
  </si>
  <si>
    <t>Change blue-on-yellow assumptions on Forecast, WACC and Valuation; everything else recalculates. Model_Review records every change and why.</t>
  </si>
  <si>
    <t>Legend</t>
  </si>
  <si>
    <t>1,234</t>
  </si>
  <si>
    <t>Blue text on yellow = input you type</t>
  </si>
  <si>
    <t>Black = formula, do not overwrite</t>
  </si>
  <si>
    <t>Green = direct link to another sheet</t>
  </si>
  <si>
    <t>Grey = not disclosed for that period</t>
  </si>
  <si>
    <t>Blue text (no fill) = market data or a figure typed from the source in the note column</t>
  </si>
  <si>
    <t>Label</t>
  </si>
  <si>
    <t>Lavender label = changed after the 25-26 Sep reviews (see Model_Review)</t>
  </si>
  <si>
    <t>Conventions</t>
  </si>
  <si>
    <t>$ in millions unless stated. Percentages entered as decimals (2.1% = 0.021). Costs, capex, buybacks and dividends entered as positive numbers. Q2 = three months to 30 June; H1 = six months to 30 June.</t>
  </si>
  <si>
    <t>Data notes</t>
  </si>
  <si>
    <t>Quarterly totals can differ by $1m from the release because line items are rounded. Q2 systemwide sales ($37bn) and loyalty users (~210m, ~220m) are rounded as disclosed. 2023 special charges are not given in the 2025 10-K.</t>
  </si>
  <si>
    <t>Tabs (in workbook order)</t>
  </si>
  <si>
    <t xml:space="preserve">  Historical_5Y</t>
  </si>
  <si>
    <t>FY2021-FY2025 revenue split, operating income, net income, EPS, D&amp;A, capex, FCF, dividends, debt and leverage.</t>
  </si>
  <si>
    <t xml:space="preserve">  Historical_Drivers</t>
  </si>
  <si>
    <t>FY2023-H1 2026 operating drivers (comps, units, systemwide sales, take rates, margins, SG&amp;A, FCF conversion, reported ROIC, leverage) and a GAAP-to-adjusted bridge.</t>
  </si>
  <si>
    <t xml:space="preserve">  Industry_Evidence</t>
  </si>
  <si>
    <t>Independent U.S. restaurant traffic data (RMS, Black Box, NRA, BLS, Circana, Placer.ai) and franchisee unit economics from Investor Day.</t>
  </si>
  <si>
    <t xml:space="preserve">  Market_WACC</t>
  </si>
  <si>
    <t>MCD share price, shares, market cap, raw beta, 10-year Treasury and dividend (24-Sep-2026 close); source multiples and an EV cross-check.</t>
  </si>
  <si>
    <t xml:space="preserve">  Peers</t>
  </si>
  <si>
    <t>YUM, QSR, SBUX, CMG, DPZ at the 24-Sep close: market cap, EV, P/E, EV/EBITDA, beta; medians; source snapshot kept as memo.</t>
  </si>
  <si>
    <t xml:space="preserve">  Forecast</t>
  </si>
  <si>
    <t>FY2026E-FY2030E, one assumption per line, incl. recurring restructuring; UFCF and company-definition FCF conversion.</t>
  </si>
  <si>
    <t xml:space="preserve">  Comps</t>
  </si>
  <si>
    <t>Lease-adjusted peer multiples, unlevered betas, franchise-heavy primary set, implied value, 50/50 rationale, growth table.</t>
  </si>
  <si>
    <t xml:space="preserve">  WACC</t>
  </si>
  <si>
    <t>Primary bottom-up beta from franchise-heavy peers (0.60), cost of equity and debt, sensitivities, beta reconciliation, MCD unlevered beta.</t>
  </si>
  <si>
    <t xml:space="preserve">  DCF</t>
  </si>
  <si>
    <t>Stub from the 30-Jun-2026 balance sheet, mid-year convention, normalised terminal year, guide checks.</t>
  </si>
  <si>
    <t xml:space="preserve">  Valuation</t>
  </si>
  <si>
    <t>60/40 target, rating (exact bands), football field, WACC vs growth grids, beta check, scenarios, reverse DCF, consensus and comps-weighting checks.</t>
  </si>
  <si>
    <t xml:space="preserve">  Model_Review</t>
  </si>
  <si>
    <t>Guide review and five feedback rounds: each point, whether it was right, what changed, target bridges.</t>
  </si>
  <si>
    <t xml:space="preserve">  Reference_Data</t>
  </si>
  <si>
    <t>Figures from the 2025 10-K and the Q2 2026 release, with page references; feeds Historical_Drivers, Comps and Forecast.</t>
  </si>
  <si>
    <t>McDonald's - five-year annual history (FY2021-FY2025)</t>
  </si>
  <si>
    <t>Blue = figure from the 10-Ks (source in column I). Black = formula. $ millions unless stated. Fiscal year ends 31 December.</t>
  </si>
  <si>
    <t>Line item</t>
  </si>
  <si>
    <t>Unit</t>
  </si>
  <si>
    <t>FY2021</t>
  </si>
  <si>
    <t>FY2022</t>
  </si>
  <si>
    <t>FY2023</t>
  </si>
  <si>
    <t>FY2024</t>
  </si>
  <si>
    <t>FY2025</t>
  </si>
  <si>
    <t>CAGR 21-25</t>
  </si>
  <si>
    <t>Source</t>
  </si>
  <si>
    <t>REVENUE</t>
  </si>
  <si>
    <t>Revenues from franchised restaurants</t>
  </si>
  <si>
    <t>$mm</t>
  </si>
  <si>
    <t>10-K FY2022 (SEC) p.13; 10-K FY2025 (project file) p.39</t>
  </si>
  <si>
    <t>Sales by company-operated restaurants</t>
  </si>
  <si>
    <t>10-K FY2022 (SEC) p.11; 10-K FY2025 (project file) p.39</t>
  </si>
  <si>
    <t>Other revenues</t>
  </si>
  <si>
    <t>Total revenues</t>
  </si>
  <si>
    <t>Formula</t>
  </si>
  <si>
    <t>Franchised % of total revenue</t>
  </si>
  <si>
    <t>%</t>
  </si>
  <si>
    <t>Company-operated % of total revenue</t>
  </si>
  <si>
    <t>Total revenue growth YoY</t>
  </si>
  <si>
    <t>PROFIT &amp; PER SHARE</t>
  </si>
  <si>
    <t>Operating income (GAAP)</t>
  </si>
  <si>
    <t>Operating income (non-GAAP, company)</t>
  </si>
  <si>
    <t>10-K FY2022 (SEC) p.17; 10-K FY2025 (project file) p.18 (FY23 not retrieved)</t>
  </si>
  <si>
    <t>Operating margin (GAAP)</t>
  </si>
  <si>
    <t>Net income (GAAP)</t>
  </si>
  <si>
    <t>Diluted EPS (GAAP)</t>
  </si>
  <si>
    <t>$/sh</t>
  </si>
  <si>
    <t>Diluted EPS (non-GAAP, company)</t>
  </si>
  <si>
    <t>10-K FY2022 (SEC) p.12; 10-K FY2025 (project file) p.13 (FY23 not retrieved)</t>
  </si>
  <si>
    <t>GAAP EPS growth YoY</t>
  </si>
  <si>
    <t>Depreciation &amp; amortization (cash flow)</t>
  </si>
  <si>
    <t>10-K FY2022 (SEC) CF stmt; 10-K FY2025 (project file) p.42</t>
  </si>
  <si>
    <t>EBITDA (GAAP op. income + D&amp;A)</t>
  </si>
  <si>
    <t>SHARE COUNT</t>
  </si>
  <si>
    <t>Weighted avg diluted shares</t>
  </si>
  <si>
    <t>mm</t>
  </si>
  <si>
    <t>Shares outstanding at year end</t>
  </si>
  <si>
    <t>10-K FY2024 (SEC) p.21 table; FY25 = 1,660.6 issued - 950.0 treasury (10-K p.41)</t>
  </si>
  <si>
    <t>Year-end share count change YoY</t>
  </si>
  <si>
    <t>CASH FLOW &amp; SHAREHOLDER RETURNS</t>
  </si>
  <si>
    <t>Cash provided by operations</t>
  </si>
  <si>
    <t>10-K FY2023 Exh. 99.1 (SEC); 10-K FY2025 (project file) p.42</t>
  </si>
  <si>
    <t>Capital expenditures</t>
  </si>
  <si>
    <t>Free cash flow (CFO - capex)</t>
  </si>
  <si>
    <t>FCF conversion (FCF / net income)</t>
  </si>
  <si>
    <t>Capex % of revenue</t>
  </si>
  <si>
    <t>Dividends paid</t>
  </si>
  <si>
    <t>Share buybacks (treasury stock purchases, cash flow)</t>
  </si>
  <si>
    <t>Total returned to shareholders</t>
  </si>
  <si>
    <t>Total returned % of FCF</t>
  </si>
  <si>
    <t>Dividends declared per share</t>
  </si>
  <si>
    <t>10-K FY2024 (SEC) p.21; 10-K FY2025 (project file) p.39</t>
  </si>
  <si>
    <t>Dividend payout (dividends paid / net income)</t>
  </si>
  <si>
    <t>NET DEBT (year end)</t>
  </si>
  <si>
    <t>Cash &amp; equivalents</t>
  </si>
  <si>
    <t>10-K FY2022 (SEC) CF stmt; 10-K FY2025 (project file) p.41-42</t>
  </si>
  <si>
    <t>Total debt (incl. current maturities, excl. leases)</t>
  </si>
  <si>
    <t>10-K FY2023 Exh. 99.1 (SEC); 10-K FY2025 (project file) p.41</t>
  </si>
  <si>
    <t>Net debt (excl. leases)</t>
  </si>
  <si>
    <t>Lease liabilities (current + long-term)</t>
  </si>
  <si>
    <t>10-K FY2025 (project file) p.41 (earlier years not retrieved)</t>
  </si>
  <si>
    <t>Net debt incl. leases</t>
  </si>
  <si>
    <t>Net debt / EBITDA (excl. leases)</t>
  </si>
  <si>
    <t>x</t>
  </si>
  <si>
    <t>McDonald's - historical operating drivers and GAAP-to-adjusted bridge</t>
  </si>
  <si>
    <t>Added after the 25-Sep feedback. All black formulas pull from Reference_Data (10-K 2025 / Q2-26 release) or Historical_5Y; blue = figure typed from the source in column H. Blank = not disclosed.</t>
  </si>
  <si>
    <t>Driver</t>
  </si>
  <si>
    <t>Q2 2026</t>
  </si>
  <si>
    <t>H1 2026</t>
  </si>
  <si>
    <t>Source / what it shows</t>
  </si>
  <si>
    <t>A. GROWTH DRIVERS</t>
  </si>
  <si>
    <t>Comparable sales - total</t>
  </si>
  <si>
    <t>10-K p.14 / Q2-26 release p.2. Growth has slowed from +9.0% to +3.1%, and to +1.3% in Q2-26.</t>
  </si>
  <si>
    <t>Comparable sales - U.S.</t>
  </si>
  <si>
    <t>Q2-26 U.S. comps were check-led with guest counts down (release, call). Investor Day: July and August slightly negative, September expected positive, Q3 U.S. slightly negative.</t>
  </si>
  <si>
    <t>Comparable sales - IOM</t>
  </si>
  <si>
    <t>10-K p.14 / Q2-26 release p.2.</t>
  </si>
  <si>
    <t>Comparable sales - IDL</t>
  </si>
  <si>
    <t>Restaurants at year end</t>
  </si>
  <si>
    <t>#</t>
  </si>
  <si>
    <t>10-K p.20 (U.S. + IOM + IDL).</t>
  </si>
  <si>
    <t>Net unit growth</t>
  </si>
  <si>
    <t>Investor Day: net unit growth of nearly 4.5% in 2027, easing to 3-3.5% a year in 2028-30.</t>
  </si>
  <si>
    <t>Gross restaurant openings</t>
  </si>
  <si>
    <t>10-K p.20.</t>
  </si>
  <si>
    <t>Franchised sales</t>
  </si>
  <si>
    <t>10-K p.15 (U.S. + IOM + IDL). Not revenue: the base on which rent and royalties are charged.</t>
  </si>
  <si>
    <t>Company-operated sales</t>
  </si>
  <si>
    <t>10-K p.39.</t>
  </si>
  <si>
    <t>Systemwide sales</t>
  </si>
  <si>
    <t>$bn</t>
  </si>
  <si>
    <t>Franchised + company-operated sales; FY25 ties to the reported $139.4bn (10-K p.8).</t>
  </si>
  <si>
    <t>Systemwide sales growth (reported US$)</t>
  </si>
  <si>
    <t>Includes FX; constant-currency growth was 2% (FY24) and 5% (FY25) per 10-K p.14.</t>
  </si>
  <si>
    <t>B. HOW SALES TURN INTO REVENUE AND MARGIN</t>
  </si>
  <si>
    <t>Take rate - total (franchised revenue / franchised sales)</t>
  </si>
  <si>
    <t>Cents of revenue per $1 of franchisee sales: stable at ~13%, so revenue tracks systemwide sales.</t>
  </si>
  <si>
    <t>Take rate - U.S. (rent + royalty)</t>
  </si>
  <si>
    <t>~14 cents per U.S. franchised sales dollar (not per total U.S. sales dollar).</t>
  </si>
  <si>
    <t>Take rate - IOM (rent + royalty)</t>
  </si>
  <si>
    <t>Conventional franchise, McDonald's owns or leases the real estate.</t>
  </si>
  <si>
    <t>Take rate - IDL (royalty only)</t>
  </si>
  <si>
    <t>IDL &amp; Corporate franchised revenue / IDL franchised sales. Licensee owns the real estate, so new IDL units add little revenue.</t>
  </si>
  <si>
    <t>Franchised margin %</t>
  </si>
  <si>
    <t>Franchised revenue less occupancy costs: ~84% and steady.</t>
  </si>
  <si>
    <t>Company-operated margin %</t>
  </si>
  <si>
    <t>Falling: food, paper and labour inflation.</t>
  </si>
  <si>
    <t>Company-operated margin % - U.S.</t>
  </si>
  <si>
    <t>15.2% -&gt; 11.6%: the main reason refranchising lifts group margin.</t>
  </si>
  <si>
    <t>SG&amp;A % of systemwide sales</t>
  </si>
  <si>
    <t>Flat at ~2.2%; target ~1.9% by 2030 (Investor Day), decline starting 2027.</t>
  </si>
  <si>
    <t>10-K p.39 / Q2-26 release.</t>
  </si>
  <si>
    <t>Operating margin (adjusted: before special charges)</t>
  </si>
  <si>
    <t>FY23 special charges are not given in the 2025 10-K. H1-26 46.9% matches the release.</t>
  </si>
  <si>
    <t>C. CASH, RETURNS AND LEVERAGE</t>
  </si>
  <si>
    <t>10-K p.42.</t>
  </si>
  <si>
    <t>Rising with record unit openings; NEXT adds $8.5bn of partnering to 2036 (~$5bn by 2030).</t>
  </si>
  <si>
    <t>Free cash flow (CFO - capex, company definition)</t>
  </si>
  <si>
    <t>10-K p.42. This is the company FCF, not the UFCF used in the DCF.</t>
  </si>
  <si>
    <t>FCF conversion (FCF / GAAP net income, company definition)</t>
  </si>
  <si>
    <t>10-K p.30 reports 84% (2025) and 81% (2024); guidance low-to-mid 80% for 2026.</t>
  </si>
  <si>
    <t>After-tax ROIC (company-reported, continuing operations)</t>
  </si>
  <si>
    <t>2025 Annual Report p.30 (10-K MD&amp;A; reconciliation in Exhibit 99.1). Falling as investment rises ahead of returns.</t>
  </si>
  <si>
    <t>Dividends + buybacks</t>
  </si>
  <si>
    <t>Historical_5Y tab. Steady ~2.6-2.7x.</t>
  </si>
  <si>
    <t>EBIT / interest expense (GAAP)</t>
  </si>
  <si>
    <t>Coverage has eased from 8.6x as interest costs rose; still comfortable.</t>
  </si>
  <si>
    <t>D. GAAP TO ADJUSTED BRIDGE (restructuring and other special charges)</t>
  </si>
  <si>
    <t>Bridge</t>
  </si>
  <si>
    <t>H1 2025</t>
  </si>
  <si>
    <t>Note</t>
  </si>
  <si>
    <t>Add: special charges, pre-tax (mainly restructuring)</t>
  </si>
  <si>
    <t>10-K p.13, 18 / Q2-26 release p.2. Charges recurred every year 2023-26 ($795m cumulative since the programme began; completes 2027).</t>
  </si>
  <si>
    <t>Operating income (adjusted)</t>
  </si>
  <si>
    <t>Reported non-GAAP operating income (check)</t>
  </si>
  <si>
    <t>Historical_5Y row 16.</t>
  </si>
  <si>
    <t>Difference (rounding)</t>
  </si>
  <si>
    <t>Add: after-tax special charges per diluted share</t>
  </si>
  <si>
    <t>After-tax charges / weighted diluted shares.</t>
  </si>
  <si>
    <t>Diluted EPS (adjusted)</t>
  </si>
  <si>
    <t>Reported adjusted EPS (check)</t>
  </si>
  <si>
    <t>Historical_5Y row 20; H1-26 $6.21 typed from the Q2-26 release p.3 (blue).</t>
  </si>
  <si>
    <t>WHAT THE HISTORY SAYS</t>
  </si>
  <si>
    <t>1. Growth has slowed and turned check-led: global comps +9.0% (FY23) -&gt; +3.1% (FY25) -&gt; +1.3% in Q2-26; U.S. +0.8% in Q2-26 with guest counts down.</t>
  </si>
  <si>
    <t>2. The rent/royalty engine is intact: take rate ~13% and franchised margin ~84% barely moved, so revenue tracks systemwide sales. The weak spot is U.S. company-operated margin (15.2% -&gt; 11.6%).</t>
  </si>
  <si>
    <t>3. Returns are falling as investment rises: after-tax ROIC 25.2% -&gt; 20.3% while capex rose from 9.2% to 12.5% of revenue. NEXT (5-6 year payback for McDonald's) makes a quick ROIC recovery unlikely.</t>
  </si>
  <si>
    <t>4. Cash conversion and leverage are steady: FCF conversion 81-86%, net debt / EBITDA ~2.6-2.7x, EBIT covers interest ~8x.</t>
  </si>
  <si>
    <t>Independent industry evidence and franchisee unit economics</t>
  </si>
  <si>
    <t>Added after the 25-Sep feedback (the report leaned on management framing). Blue = figure typed from the source in column E. Not linked into the valuation; used to test the traffic and franchisee assumptions.</t>
  </si>
  <si>
    <t>Measure</t>
  </si>
  <si>
    <t>Value</t>
  </si>
  <si>
    <t>Period</t>
  </si>
  <si>
    <t>Why it matters for MCD</t>
  </si>
  <si>
    <t>INDUSTRY TRAFFIC - independent of McDonald's</t>
  </si>
  <si>
    <t>U.S. quick-service net sales growth</t>
  </si>
  <si>
    <t>Q4 2025</t>
  </si>
  <si>
    <t>Revenue Management Solutions, via ClearCOGS H1-2026 demand review (compiles RMS, Black Box, NRA, BLS): clearcogs.com/blog/restaurant-demand-outlook-h2-2026 (1-Jul-2026)</t>
  </si>
  <si>
    <t>Industry growth is check-led, the same mechanism as MCD in Q2-26.</t>
  </si>
  <si>
    <t>U.S. quick-service traffic growth</t>
  </si>
  <si>
    <t>Revenue Management Solutions, via ClearCOGS (above)</t>
  </si>
  <si>
    <t>Visits falling across the category, not only at MCD.</t>
  </si>
  <si>
    <t>U.S. quick-service average check growth</t>
  </si>
  <si>
    <t>Price/mix doing the work; limits how long check can offset traffic.</t>
  </si>
  <si>
    <t>Restaurant same-store sales growth</t>
  </si>
  <si>
    <t>Jan 2026</t>
  </si>
  <si>
    <t>Black Box Intelligence, via ClearCOGS (above)</t>
  </si>
  <si>
    <t>Traffic -1.1% in the same month.</t>
  </si>
  <si>
    <t>Restaurant traffic growth</t>
  </si>
  <si>
    <t>Feb 2026</t>
  </si>
  <si>
    <t>Same-store sales +1.6% in the same month.</t>
  </si>
  <si>
    <t>Operators reporting lower traffic y/y</t>
  </si>
  <si>
    <t>May 2026</t>
  </si>
  <si>
    <t>National Restaurant Association survey, via ClearCOGS (above)</t>
  </si>
  <si>
    <t>15th net traffic decline in 16 months.</t>
  </si>
  <si>
    <t>Food-away-from-home CPI (12 months)</t>
  </si>
  <si>
    <t>to May 2026</t>
  </si>
  <si>
    <t>U.S. BLS, via ClearCOGS (above)</t>
  </si>
  <si>
    <t>Food at home +2.7%: eating out keeps getting relatively dearer, pushing visits to grocery.</t>
  </si>
  <si>
    <t>Industry traffic growth forecast</t>
  </si>
  <si>
    <t>% (max)</t>
  </si>
  <si>
    <t>2026</t>
  </si>
  <si>
    <t>Circana (D. Portalatin), via Restaurant Dive, 8-Jan-2026: restaurantdive.com/news/six-restaurant-trends-2026-outlook/809073</t>
  </si>
  <si>
    <t>"Less than 1%": consistent with management's flat-industry-traffic assumption; growth must come from share.</t>
  </si>
  <si>
    <t>QSR visits vs H1-2026 weekly average</t>
  </si>
  <si>
    <t>24-30 Aug 2026</t>
  </si>
  <si>
    <t>Placer.ai, via Fast Casual: fastcasual.com/news/restaurant-traffic-moderates-in-late-august-fast-casual-chains-still-outperform</t>
  </si>
  <si>
    <t>Late-summer QSR traffic held up; a stabilisation signal, not a recovery.</t>
  </si>
  <si>
    <t>McDonald's visits vs its own H1-2026 weekly average</t>
  </si>
  <si>
    <t>Placer.ai, via Fast Casual (above)</t>
  </si>
  <si>
    <t>Chick-fil-A +9.8% the same week: the value and chicken competition MCD is targeting.</t>
  </si>
  <si>
    <t>McDONALD'S FRANCHISEE UNIT ECONOMICS - company-disclosed at Investor Day (23-Sep-2026)</t>
  </si>
  <si>
    <t>U.S. average unit volume (more than)</t>
  </si>
  <si>
    <t>$m</t>
  </si>
  <si>
    <t>Investor Day transcript (CFO)</t>
  </si>
  <si>
    <t>The base rent and royalties are charged on.</t>
  </si>
  <si>
    <t>U.S. franchisee operating cash flow per restaurant (about)</t>
  </si>
  <si>
    <t>Cash-flow margin ~12.5% of sales (row below): the buffer that funds remodels and NEXT.</t>
  </si>
  <si>
    <t>Implied U.S. franchisee cash-flow margin</t>
  </si>
  <si>
    <t>Thin enough that sustained traffic declines would erode it quickly.</t>
  </si>
  <si>
    <t>U.S. franchisee total cash flow vs 2019</t>
  </si>
  <si>
    <t>2026 vs 2019</t>
  </si>
  <si>
    <t>"Nearly 50%" higher: franchisees start NEXT from a strong position.</t>
  </si>
  <si>
    <t>Big-5 IOM average unit volume (more than)</t>
  </si>
  <si>
    <t>Cash flow ~$0.4m per restaurant (~9% margin).</t>
  </si>
  <si>
    <t>NEXT payback for McDonald's (years)</t>
  </si>
  <si>
    <t>years</t>
  </si>
  <si>
    <t>2027-36</t>
  </si>
  <si>
    <t>5-6 years (franchisees ~4 years after partnering): supports the ROIC decline in Historical_Drivers row 35.</t>
  </si>
  <si>
    <t>U.S. comparable sales guide for Q3 2026</t>
  </si>
  <si>
    <t>slightly negative</t>
  </si>
  <si>
    <t>text</t>
  </si>
  <si>
    <t>Q3 2026</t>
  </si>
  <si>
    <t>Investor Day transcript (Q&amp;A)</t>
  </si>
  <si>
    <t>July and August slightly negative, September expected positive: the bar for the Q3 catalyst.</t>
  </si>
  <si>
    <t>Market data &amp; WACC inputs</t>
  </si>
  <si>
    <t>Blue = market data at the official 24-Sep-2026 close. Black = formula. Lavender label = changed after the 25-26 Sep reviews (see Model_Review).</t>
  </si>
  <si>
    <t>Item</t>
  </si>
  <si>
    <t>Source / note</t>
  </si>
  <si>
    <t>MCD MARKET DATA</t>
  </si>
  <si>
    <t>Share price</t>
  </si>
  <si>
    <t>$</t>
  </si>
  <si>
    <t>REVISED (feedback): official close 24-Sep-2026 (open $239.70, range $237.02-$242.56, -0.55%). Stock Analysis history page (S&amp;P Global Market Intelligence data), stockanalysis.com/stocks/mcd/history, accessed 25-Sep-2026. Previous version used a 9:56am intraday print of $240.09.</t>
  </si>
  <si>
    <t>Price date</t>
  </si>
  <si>
    <t>Shares outstanding</t>
  </si>
  <si>
    <t>Stock Analysis (S&amp;P Global Market Intelligence data), stockanalysis.com/stocks/mcd/statistics, 24-Sep-2026</t>
  </si>
  <si>
    <t>Market cap (price x shares)</t>
  </si>
  <si>
    <t>Formula. The source showed $169.90bn at the 9:56am intraday price.</t>
  </si>
  <si>
    <t>Beta (5-year, monthly)</t>
  </si>
  <si>
    <t>Stock Analysis (S&amp;P Global Market Intelligence data), stockanalysis.com/stocks/mcd/statistics, 24-Sep-2026. Low beta = defensive stock; betas differ by provider and window, so check Yahoo/Koyfin too.</t>
  </si>
  <si>
    <t>10-year US Treasury yield</t>
  </si>
  <si>
    <t>REVISED 26-Sep (round 4): 10-year Treasury constant maturity at the 24-Sep-2026 close, 5.18% (FRED DGS10 / Fed H.15, from Treasury's par curve), so every market input shares the price date. Was 5.10% (23-Sep; Treasury par curve 5.11%).</t>
  </si>
  <si>
    <t>Intraday price when source multiples were captured</t>
  </si>
  <si>
    <t>Stock Analysis statistics page, 24-Sep-2026 9:56am ET. Rows 14-16 were captured at this price; MCD multiples at the close are rescaled on Peers row 13 and computed on Comps D36:D37.</t>
  </si>
  <si>
    <t>SOURCE MULTIPLES AS CAPTURED AT THE INTRADAY PRICE (cross-check only, not used in the valuation)</t>
  </si>
  <si>
    <t>P/E (trailing 12 months)</t>
  </si>
  <si>
    <t>P/E (forward)</t>
  </si>
  <si>
    <t>EV / EBITDA (trailing)</t>
  </si>
  <si>
    <t>Stock Analysis (S&amp;P Global Market Intelligence data), stockanalysis.com/stocks/mcd/statistics, 24-Sep-2026 (source EV includes leases)</t>
  </si>
  <si>
    <t>Dividend yield (forward dividend / close)</t>
  </si>
  <si>
    <t>REVISED (feedback): formula instead of the source yield (3.22% at the intraday price).</t>
  </si>
  <si>
    <t>Annual dividend per share (forward)</t>
  </si>
  <si>
    <t>Stock Analysis statistics, 24-Sep-2026: $7.72 annualised (4 x $1.93).</t>
  </si>
  <si>
    <t>WACC: see the WACC tab (7.56%, bottom-up beta from franchise-heavy peers). The Step-2 starter WACC that stood here was removed in v6.</t>
  </si>
  <si>
    <t>ENTERPRISE VALUE (own calculation, FY25 balance sheet)</t>
  </si>
  <si>
    <t>EV excl. leases (mkt cap + net debt)</t>
  </si>
  <si>
    <t>EV incl. leases</t>
  </si>
  <si>
    <t>Formula; closer to data-provider EV definitions</t>
  </si>
  <si>
    <t>EV (excl. leases) / FY25 EBITDA</t>
  </si>
  <si>
    <t>P/E on FY25 non-GAAP EPS</t>
  </si>
  <si>
    <t>Peer multiples - quick-service &amp; fast-casual restaurants</t>
  </si>
  <si>
    <t>Source: Stock Analysis (S&amp;P Global Market Intelligence). REVISED round 5: every price is the official 24-Sep-2026 close; peer multiples are the source snapshot (rows 29-33) rescaled to that close. Lavender = changed after the feedback reviews.</t>
  </si>
  <si>
    <t>Company</t>
  </si>
  <si>
    <t>Ticker</t>
  </si>
  <si>
    <t>Price ($)</t>
  </si>
  <si>
    <t>Price as of</t>
  </si>
  <si>
    <t>Market cap ($bn)</t>
  </si>
  <si>
    <t>EV ($bn)</t>
  </si>
  <si>
    <t>P/E trailing</t>
  </si>
  <si>
    <t>P/E forward</t>
  </si>
  <si>
    <t>EV/EBITDA trailing</t>
  </si>
  <si>
    <t>Beta (5Y)</t>
  </si>
  <si>
    <t>Yum! Brands</t>
  </si>
  <si>
    <t>YUM</t>
  </si>
  <si>
    <t>24-Sep close</t>
  </si>
  <si>
    <t>Trailing P/E flattered by a one-off tax benefit (negative TTM tax); use forward P/E</t>
  </si>
  <si>
    <t>Restaurant Brands Intl.</t>
  </si>
  <si>
    <t>QSR</t>
  </si>
  <si>
    <t>Market cap includes exchangeable LP units (454.5m shares)</t>
  </si>
  <si>
    <t>Starbucks</t>
  </si>
  <si>
    <t>SBUX</t>
  </si>
  <si>
    <t>Trailing earnings depressed by turnaround/restructuring costs</t>
  </si>
  <si>
    <t>Chipotle Mexican Grill</t>
  </si>
  <si>
    <t>CMG</t>
  </si>
  <si>
    <t>Company-operated model, net debt mostly leases; post 50:1 split</t>
  </si>
  <si>
    <t>Domino's Pizza</t>
  </si>
  <si>
    <t>DPZ</t>
  </si>
  <si>
    <t>Heavily franchised, highly levered</t>
  </si>
  <si>
    <t>Peer median</t>
  </si>
  <si>
    <t>Peer mean</t>
  </si>
  <si>
    <t>Franchise-heavy median (YUM, QSR, DPZ) - primary set</t>
  </si>
  <si>
    <t>McDonald's (24-Sep close)</t>
  </si>
  <si>
    <t>MCD</t>
  </si>
  <si>
    <t>REVISED (feedback): price links to Market_WACC (24-Sep close). Source multiples were captured at $240.09 (row 24): P/E rescaled by price; EV moved by the change in market cap; EBITDA unchanged.</t>
  </si>
  <si>
    <t>MCD premium / (discount) vs all-peer median</t>
  </si>
  <si>
    <t>MCD premium / (discount) vs franchise-heavy median</t>
  </si>
  <si>
    <t>Reading this table:</t>
  </si>
  <si>
    <t>- Forward P/E is the cleanest comparison: trailing P/E is distorted for YUM (tax benefit) and SBUX (restructuring).</t>
  </si>
  <si>
    <t>- At the close MCD sits ~19% below the all-peer median on forward P/E (row 14), but only slightly above the franchise-heavy median on P/E and below it on EV/EBITDA (row 15): on the closest business models MCD looks fairly priced, not cheap.</t>
  </si>
  <si>
    <t>- Business models differ: CMG and SBUX are mostly company-operated (lower margins, higher growth); YUM, QSR and DPZ are franchise-heavy like MCD, so they are the primary set on Comps from this revision.</t>
  </si>
  <si>
    <t>- Timestamps: every price (peers and MCD) is the official 24-Sep close (round 5); multiples are rescaled from the 23-24 Sep source snapshot, holding EPS, EBITDA and net debt constant.</t>
  </si>
  <si>
    <t>- The task suggested Koyfin or Yahoo Finance; these came from Stock Analysis because it publishes all the fields on one page.</t>
  </si>
  <si>
    <t>MEMO: MCD SOURCE SNAPSHOT AS CAPTURED 24-SEP 9:56AM ET (rescaled to the close in row 13)</t>
  </si>
  <si>
    <t>McDonald's - source snapshot</t>
  </si>
  <si>
    <t>24-Sep 9:56am</t>
  </si>
  <si>
    <t>Stock Analysis statistics page as captured (EV includes leases). Kept so the rescaling in row 13 is traceable.</t>
  </si>
  <si>
    <t>MEMO: PEER SOURCE SNAPSHOT AS CAPTURED (23-Sep close / 24-Sep morning) - rescaled to the 24-Sep close in rows 5-9</t>
  </si>
  <si>
    <t>Captured</t>
  </si>
  <si>
    <t>24-Sep 9:49am</t>
  </si>
  <si>
    <t>Stock Analysis statistics pages as captured 23-24 Sep. Rows 5-9 take the official 24-Sep closes from the Stock Analysis history pages (S&amp;P Global): P/E rescaled by price; EV moved by the change in market cap; EBITDA, net debt and beta unchanged.</t>
  </si>
  <si>
    <t>23-Sep close</t>
  </si>
  <si>
    <t>24-Sep 9:51am</t>
  </si>
  <si>
    <t>Five-year forecast (FY2026E-FY2030E)</t>
  </si>
  <si>
    <t>Blue on yellow = assumption (one per line). Black = formula. Green = link. Orange fill = changed after the review against the valuation guides (see Model_Review). $ millions unless stated.</t>
  </si>
  <si>
    <t>FY2025A</t>
  </si>
  <si>
    <t>FY2026E</t>
  </si>
  <si>
    <t>FY2027E</t>
  </si>
  <si>
    <t>FY2028E</t>
  </si>
  <si>
    <t>FY2029E</t>
  </si>
  <si>
    <t>FY2030E</t>
  </si>
  <si>
    <t>Source / rationale</t>
  </si>
  <si>
    <t>A. ASSUMPTIONS (one per line)</t>
  </si>
  <si>
    <t>Comparable sales growth</t>
  </si>
  <si>
    <t>H1-26 comps +2.5%, Q2 +1.3%, U.S. July slightly negative; IOM/IDL expected to accelerate in Q3 -&gt; ~2% FY26. U.S. recovery "a 2027 story" (Q2 call); Investor Day share-gain targets with flat industry traffic -&gt; 3% steady state.</t>
  </si>
  <si>
    <t>New-restaurant contribution to revenue growth</t>
  </si>
  <si>
    <t>Investor Day: new units add ~2.5% to systemwide sales 2026-27, easing to ~2% by 2030. Cut ~40% for revenue because most openings are IDL (royalty ~5% vs ~14-17% take in U.S./IOM).</t>
  </si>
  <si>
    <t>FX translation impact on revenue</t>
  </si>
  <si>
    <t>H1-26 revenue +6.4% reported vs +3% cc (Q2 release p.2). No FX assumed after FY26.</t>
  </si>
  <si>
    <t>Refranchising impact on revenue</t>
  </si>
  <si>
    <t>Investor Day: franchised mix ~95% -&gt; ~98% by end-2028 (2,012 company units at 30-Jun-26, 10-Q). Swaps company sales for ~15% rent/royalty: lowers revenue, broadly neutral to operating income, lifts margin %.</t>
  </si>
  <si>
    <t>Operating margin (adjusted, before restructuring)</t>
  </si>
  <si>
    <t>REVISED: ramp smoothed so the final-year step is 0.5pp (was 0.7pp) - DCF guide Key Rule #4: margins should stabilise by the end of the forecast. FY25 adj. 46.9%; Investor Day target low-to-mid 50s by 2030; 53% = low end.</t>
  </si>
  <si>
    <t>D&amp;A as % of revenue</t>
  </si>
  <si>
    <t>FY25 8.2%. H1-26 D&amp;A $1,131m (10-Q cash flow) ~ 8.3% of H1 revenue. Drifts up as capex rises and refranchising shrinks revenue.</t>
  </si>
  <si>
    <t>FY26 guide $3.7-3.9bn (H1 actual $1,516m). Investor Day: ~$3.0bn baseline p.a. 2027-30 + $1.5-2.0bn cumulative NEXT capital partnering.</t>
  </si>
  <si>
    <t>Change in working capital &amp; other operating items</t>
  </si>
  <si>
    <t>% rev</t>
  </si>
  <si>
    <t>REVISED LABEL: stock-based compensation is NOT added back (DCF guide Key Rule #2 - SBC is a real cost); it stays expensed inside operating income. CFO - NI - D&amp;A ran -3.3% / -3.4% / -0.8% of revenue FY23-25.</t>
  </si>
  <si>
    <t>Tax rate</t>
  </si>
  <si>
    <t>FY26 guidance 21-23% -&gt; 22%. Applied to operating income with no interest tax shield (DCF guide Key Rule #4).</t>
  </si>
  <si>
    <t>Interest expense growth</t>
  </si>
  <si>
    <t>FY26 guide +4-6%. EPS only (DCF is unlevered).</t>
  </si>
  <si>
    <t>Diluted share count change (buybacks)</t>
  </si>
  <si>
    <t>EPS only. FY21-25 diluted shares -1.2% p.a.</t>
  </si>
  <si>
    <t>Restructuring &amp; special charges (pre-tax, cash)</t>
  </si>
  <si>
    <t>NEW: charges recurred every year 2023-26 ($795m cumulative), so they are not "non-recurring" (DCF guide Key Rule #8) and must reduce cash flow. 10-Q Q2-26: ~$250m expected in 2026, programme completes during 2027.</t>
  </si>
  <si>
    <t>B. INCOME STATEMENT (adjusted basis, for EPS and multiples)</t>
  </si>
  <si>
    <t>Revenue growth</t>
  </si>
  <si>
    <t>Comps + new units + FX + refranchising (rows 6-9).</t>
  </si>
  <si>
    <t>FY25A non-GAAP (excl. $229m restructuring).</t>
  </si>
  <si>
    <t>Operating margin (adjusted)</t>
  </si>
  <si>
    <t>Depreciation &amp; amortization</t>
  </si>
  <si>
    <t>Cash-flow-statement D&amp;A (the all-inclusive figure - multiples guide Key Rule #4).</t>
  </si>
  <si>
    <t>EBITDA (adjusted)</t>
  </si>
  <si>
    <t>Interest expense</t>
  </si>
  <si>
    <t>FY25A 10-K p.39.</t>
  </si>
  <si>
    <t>Pre-tax income (adjusted)</t>
  </si>
  <si>
    <t>Income taxes</t>
  </si>
  <si>
    <t>Net income (adjusted)</t>
  </si>
  <si>
    <t>Adjusted basis kept for P/E because peer forward P/Es are built on consensus (adjusted) EPS. FY26E check: H1-26 adj. $6.21 (release p.3) + H2-25 $6.34 x ~1.05 = ~$12.9.</t>
  </si>
  <si>
    <t>EPS growth</t>
  </si>
  <si>
    <t>C. UNLEVERED FREE CASH FLOW (feeds the DCF)</t>
  </si>
  <si>
    <t>Less: restructuring &amp; special charges</t>
  </si>
  <si>
    <t>Cash cost; tax-deductible, so it also lowers taxes below.</t>
  </si>
  <si>
    <t>EBIT used in DCF</t>
  </si>
  <si>
    <t>Less: taxes on EBIT</t>
  </si>
  <si>
    <t>EBIT x tax rate - no interest tax shield (it sits in the WACC).</t>
  </si>
  <si>
    <t>NOPAT</t>
  </si>
  <si>
    <t>Plus: D&amp;A</t>
  </si>
  <si>
    <t>Less: capital expenditures</t>
  </si>
  <si>
    <t>Plus/(less): working capital &amp; other items</t>
  </si>
  <si>
    <t>Unlevered free cash flow (UFCF) - DCF basis, before interest</t>
  </si>
  <si>
    <t>UFCF = NOPAT + D&amp;A - capex - working capital, after restructuring cash costs and before interest; it feeds the DCF. NOT comparable with the company "free cash flow" (row 46). Rent on leases stays in operating costs, so lease liabilities are not deducted in the bridge (DCF guide Key Rules #6, #13).</t>
  </si>
  <si>
    <t>UFCF growth</t>
  </si>
  <si>
    <t>Should trend toward the terminal growth rate by FY2030 (DCF guide Key Rule #6) - see DCF checks.</t>
  </si>
  <si>
    <t>Memo: capex % of revenue</t>
  </si>
  <si>
    <t>Must stay above D&amp;A % for a growing company (DCF guide Key Rule #4).</t>
  </si>
  <si>
    <t>Memo: free cash flow, company definition proxy (CFO - capex ~ UFCF - after-tax interest)</t>
  </si>
  <si>
    <t>Company definition (10-K p.7): cash from operations less capex. FY25A $7,186m.</t>
  </si>
  <si>
    <t>Memo: FCF / adjusted net income (not the company ratio)</t>
  </si>
  <si>
    <t>Guidance: low-to-mid 80s% today, mid-to-high 80s% by 2030 (Investor Day).</t>
  </si>
  <si>
    <t>Memo: GAAP net income (adj. NI less after-tax restructuring)</t>
  </si>
  <si>
    <t>Memo: FCF conversion - company definition (FCF / GAAP net income)</t>
  </si>
  <si>
    <t>Company definition (10-K p.7): FCF / net income; 84% in 2025 and 81% in 2024 (10-K p.30). Guidance: low-to-mid 80% in 2026, mid-to-high 80% by 2030 (Investor Day).</t>
  </si>
  <si>
    <t>Comparable companies - lease-consistent multiples, period-matched to MCD figures</t>
  </si>
  <si>
    <t>Source multiples from the Peers tab (Stock Analysis, 24-Sep-2026). Blue = inputs. Orange = changed after the guide review. Lavender = changed after the 25-Sep external feedback (see Model_Review rows 26+).</t>
  </si>
  <si>
    <t>EV incl. leases ($bn)</t>
  </si>
  <si>
    <t>EV/EBITDA (source)</t>
  </si>
  <si>
    <t>LTM EBITDA ($bn)</t>
  </si>
  <si>
    <t>Operating lease liab. ($bn)</t>
  </si>
  <si>
    <t>EV excl. op. leases ($bn)</t>
  </si>
  <si>
    <t>EV/EBITDA lease-adjusted</t>
  </si>
  <si>
    <t>Net debt excl. leases ($bn)</t>
  </si>
  <si>
    <t>Debt / equity</t>
  </si>
  <si>
    <t>Levered beta</t>
  </si>
  <si>
    <t>Unlevered beta</t>
  </si>
  <si>
    <t>Forward P/E</t>
  </si>
  <si>
    <t>Debt / capital</t>
  </si>
  <si>
    <t>Operating-lease source</t>
  </si>
  <si>
    <t>YUM 10-Q 30-Jun-2026: non-current operating lease liabilities $1,139m (current portion sits in accrued liabilities, not separately retrieved).</t>
  </si>
  <si>
    <t>QSR 10-Q 30-Jun-2026: operating lease liabilities, net of current portion $1,908m (current portion in other accrued liabilities).</t>
  </si>
  <si>
    <t>ESTIMATE: SBUX had $10.3bn at Dec-2024 (current $1.45bn + LT $8.86bn); China retail operations divested in FQ3-2026. Exact Jun-2026 figure not retrieved - does not change the median.</t>
  </si>
  <si>
    <t>CMG 10-Q 31-Mar-2026: current $310m + long-term $4,936m.</t>
  </si>
  <si>
    <t>DPZ 14-Jun-2026: current $46m + long-term $193m (Stock Analysis balance sheet).</t>
  </si>
  <si>
    <t>Unlevering uses D/E excluding operating leases, consistent with not treating leases as capital (DCF guide Key Rule #5). One tax rate (22%) applied to all peers for simplicity.</t>
  </si>
  <si>
    <t>Peer 25th percentile</t>
  </si>
  <si>
    <t>Peer 75th percentile</t>
  </si>
  <si>
    <t>Franchise-heavy median (YUM, QSR, DPZ) - PRIMARY</t>
  </si>
  <si>
    <t>Franchise-heavy MEAN (YUM, QSR, DPZ) - used for the WACC beta</t>
  </si>
  <si>
    <t>MCD METRICS (period-matched to each multiple)</t>
  </si>
  <si>
    <t>LTM operating income (GAAP) to 30-Jun-2026</t>
  </si>
  <si>
    <t>FY25 + H1-26 - H1-25 (multiples guide Key Rule #15). GAAP, because the source EBITDA for peers is unadjusted and MCD's restructuring has recurred for four years.</t>
  </si>
  <si>
    <t>H1-2026 D&amp;A (cash flow statement)</t>
  </si>
  <si>
    <t>MCD 10-Q Q2-2026, cash flow statement.</t>
  </si>
  <si>
    <t>H1-2025 D&amp;A (cash flow statement)</t>
  </si>
  <si>
    <t>MCD 10-Q Q2-2026, cash flow statement (prior-year column).</t>
  </si>
  <si>
    <t>LTM D&amp;A</t>
  </si>
  <si>
    <t>LTM EBITDA (GAAP)</t>
  </si>
  <si>
    <t>Cross-check: Stock Analysis EV $223.68bn / 14.9x = $15.0bn.</t>
  </si>
  <si>
    <t>Weight of FY2026E in next twelve months</t>
  </si>
  <si>
    <t>(31-Dec-2026 - price date) / 365.</t>
  </si>
  <si>
    <t>NTM diluted EPS (adjusted)</t>
  </si>
  <si>
    <t>Calendarised: w x FY26E + (1 - w) x FY27E (multiples guide Key Rule #16). Adjusted to match consensus-based forward P/E.</t>
  </si>
  <si>
    <t>Net debt (fair-value debt less cash, 30-Jun-2026)</t>
  </si>
  <si>
    <t>DCF tab - same bridge as the DCF. Leases excluded because EBITDA is after rent (lease-adjusted multiples above).</t>
  </si>
  <si>
    <t>Diluted shares</t>
  </si>
  <si>
    <t>WACC tab (basic + treasury-stock dilution).</t>
  </si>
  <si>
    <t>IMPLIED VALUE PER SHARE - PRIMARY SET: FRANCHISE-HEAVY PEERS (YUM, QSR, DPZ)</t>
  </si>
  <si>
    <t>Method</t>
  </si>
  <si>
    <t>Low (min)</t>
  </si>
  <si>
    <t>Median</t>
  </si>
  <si>
    <t>High (max)</t>
  </si>
  <si>
    <t>Weight</t>
  </si>
  <si>
    <t>Forward P/E x NTM EPS</t>
  </si>
  <si>
    <t>REVISED (feedback): franchise-heavy peer forward P/E (min / median / max of YUM, QSR, DPZ) x MCD NTM EPS. SBUX and CMG are company-operated and priced on faster growth, so they no longer set the target (all-five result kept in row 34).</t>
  </si>
  <si>
    <t>LTM EV/EBITDA (lease-adjusted) x LTM EBITDA</t>
  </si>
  <si>
    <t>REVISED (feedback): franchise-heavy peers only. Trailing multiple on MCD LTM EBITDA (period-matched); EV excludes operating leases to pair with post-rent EBITDA (multiples guide Key Rules #8, #9).</t>
  </si>
  <si>
    <t>Comps value per share (weighted) - used in the target</t>
  </si>
  <si>
    <t>Why 50/50 (round 4): EV/EBITDA is capital-structure neutral, which matters because the franchise-heavy peers carry more debt than MCD, but it ignores D&amp;A and capex, and MCD owns much of its real estate, which flatters it on EBITDA. Forward P/E captures D&amp;A, interest and tax and is forward-looking, but is distorted by the peers' higher leverage. The biases run in opposite directions and neither clearly dominates, so each gets half; the DCF (60%) remains the anchor.</t>
  </si>
  <si>
    <t>MEMO / CROSS-CHECKS (not used in the target)</t>
  </si>
  <si>
    <t>All five peers (previous primary set): 25th / median / 75th</t>
  </si>
  <si>
    <t>What the target used before the feedback review (median $292.69). Shows how much company-operated SBUX and CMG lift the peer set.</t>
  </si>
  <si>
    <t>Previous method: source EV/EBITDA x NTM EBITDA</t>
  </si>
  <si>
    <t>What the model did before the review: trailing multiple on forward EBITDA and lease-inclusive EV - mismatched on both period and leases.</t>
  </si>
  <si>
    <t>MCD at current price: forward P/E (NTM)</t>
  </si>
  <si>
    <t>vs franchise-heavy median in N14 (all-peer median in N11).</t>
  </si>
  <si>
    <t>MCD at current price: LTM EV/EBITDA (excl. op. leases)</t>
  </si>
  <si>
    <t>vs franchise-heavy median in I14 (all-peer median in I11).</t>
  </si>
  <si>
    <t>PEER GROWTH &amp; BUSINESS MODEL - why the franchise-heavy set is primary (added after feedback)</t>
  </si>
  <si>
    <t>Trailing P/E</t>
  </si>
  <si>
    <t>Implied NTM EPS growth</t>
  </si>
  <si>
    <t>EV/EBITDA (lease-adj.)</t>
  </si>
  <si>
    <t>Primary set?</t>
  </si>
  <si>
    <t>Business model / note</t>
  </si>
  <si>
    <t>Yes</t>
  </si>
  <si>
    <t>Franchise-heavy: ~97% franchised at end-2025 (beta note, citing YUM 2025 10-K). Implied growth understated: trailing EPS flattered by a one-off tax benefit.</t>
  </si>
  <si>
    <t>Franchise-heavy (Burger King, Tim Hortons, Popeyes, Firehouse); predominantly franchised.</t>
  </si>
  <si>
    <t>No</t>
  </si>
  <si>
    <t>Mostly company-operated; 7,991 China stores moved to licensed in 2026 (beta note) but still far less franchise-intensive. Implied growth overstated: trailing EPS depressed by restructuring.</t>
  </si>
  <si>
    <t>Almost entirely company-operated.</t>
  </si>
  <si>
    <t>~99% franchised, but runs a large supply chain (~$3.0bn of ~$4.9bn 2025 revenue, beta note): explains its higher beta.</t>
  </si>
  <si>
    <t>MCD forward P/E is the source consensus multiple rescaled to the close; EV/EBITDA is the model figure (excl. operating leases).</t>
  </si>
  <si>
    <t>Franchise-heavy median</t>
  </si>
  <si>
    <t>Reading: implied NTM EPS growth = trailing P/E / forward P/E - 1 (same price, so it equals forward EPS / trailing EPS - 1). On the clean readings QSR and DPZ are expected to grow EPS ~14-15% vs ~7% for MCD, so even the franchise-heavy multiple is a generous yardstick for MCD; growth-adjusting would lower the comps value further. That supports dropping the higher all-peer set, not raising the comps weight.</t>
  </si>
  <si>
    <t>WACC - primary: bottom-up beta from franchise-heavy peers; other beta methods shown as sensitivities</t>
  </si>
  <si>
    <t>Blue on yellow = assumption. Green = link. Lavender = changed after the 25-26 Sep reviews. Round 3 (26-Sep beta note): base beta = mean unlevered beta of YUM, QSR, DPZ relevered to MCD (rows 44-50); the three earlier methods are now cross-checks.</t>
  </si>
  <si>
    <t>MARKET INPUTS &amp; CAPITAL STRUCTURE</t>
  </si>
  <si>
    <t>Risk-free rate (10-year U.S. Treasury)</t>
  </si>
  <si>
    <t>Market_WACC B11 (5.18%, 24-Sep-2026 close).</t>
  </si>
  <si>
    <t>Raw beta (5-year monthly)</t>
  </si>
  <si>
    <t>Market_WACC</t>
  </si>
  <si>
    <t>Market_WACC, 24-Sep-2026</t>
  </si>
  <si>
    <t>Basic shares outstanding</t>
  </si>
  <si>
    <t>707,641,531 at 30-Jun-2026 (10-Q cover).</t>
  </si>
  <si>
    <t>Dilutive securities (treasury stock method)</t>
  </si>
  <si>
    <t>NEW: MCD 10-Q Q2-2026 - TSM dilution of 2.0m shares for the quarter. Multiples guide Key Rule #2: value per share uses diluted shares.</t>
  </si>
  <si>
    <t>Diluted shares outstanding</t>
  </si>
  <si>
    <t>Used in DCF, comps and the equity weight.</t>
  </si>
  <si>
    <t>Market value of equity (diluted)</t>
  </si>
  <si>
    <t>Market value of debt (fair value, 30-Jun-2026)</t>
  </si>
  <si>
    <t>REVISED: 10-Q fair value $38.3bn vs carrying $39.9bn (multiples guide Key Rule #10 - use market values). Leases excluded, as rent is in the FCF.</t>
  </si>
  <si>
    <t>Forecast</t>
  </si>
  <si>
    <t>MCD debt / equity (market)</t>
  </si>
  <si>
    <t>COST OF EQUITY (CAPM) - earlier three methods, now cross-checks (primary method in rows 44-50)</t>
  </si>
  <si>
    <t>Equity risk premium</t>
  </si>
  <si>
    <t>ASSUMPTION: 5.0%, inside the 4-6% range the guide cites (it used 5.5% in its example).</t>
  </si>
  <si>
    <t>Blume weight on raw beta</t>
  </si>
  <si>
    <t>Standard Blume adjustment: 0.67 x raw + 0.33.</t>
  </si>
  <si>
    <t>Method 1 beta: historical (Blume-adjusted)</t>
  </si>
  <si>
    <t>Guide method 3 ("easy method"): company's own historical beta.</t>
  </si>
  <si>
    <t>Peer median unlevered beta</t>
  </si>
  <si>
    <t>Comps tab: each peer beta / (1 + D/E x (1 - t)), D/E excluding operating leases.</t>
  </si>
  <si>
    <t>Method 2 beta: peers re-levered at MCD current D/E</t>
  </si>
  <si>
    <t>Guide method 1.</t>
  </si>
  <si>
    <t>Peer median debt / total capital</t>
  </si>
  <si>
    <t>Proxy for a "target" capital structure (guide method 2).</t>
  </si>
  <si>
    <t>Method 3 beta: peers re-levered at peer-median structure</t>
  </si>
  <si>
    <t>Guide method 2.</t>
  </si>
  <si>
    <t>Cost of equity - method 1</t>
  </si>
  <si>
    <t>Cost of equity - method 2</t>
  </si>
  <si>
    <t>Cost of equity - method 3</t>
  </si>
  <si>
    <t>COST OF DEBT</t>
  </si>
  <si>
    <t>Credit spread over 10-year Treasury</t>
  </si>
  <si>
    <t>ASSUMPTION: ~90bp for BBB+/Baa1 long bonds (guide: risk-free + default spread). Check: fair value below carrying implies market yields above coupons.</t>
  </si>
  <si>
    <t>Pre-tax cost of debt</t>
  </si>
  <si>
    <t>After-tax cost of debt</t>
  </si>
  <si>
    <t>WACC - earlier methods (cross-checks) and the WACC used</t>
  </si>
  <si>
    <t>Equity weight - current market structure</t>
  </si>
  <si>
    <t>WACC - method 1 (historical beta, current structure)</t>
  </si>
  <si>
    <t>WACC - method 2 (peer beta, current structure)</t>
  </si>
  <si>
    <t>WACC - method 3 (peer beta, peer-median structure)</t>
  </si>
  <si>
    <t>WACC used (primary: franchise-heavy bottom-up beta, row 50)</t>
  </si>
  <si>
    <t>REVISED 26-Sep (beta note): was the equal-weight average of methods 1-3 (8.03%), which had no economic basis. Now the WACC from the bottom-up franchise-heavy beta; all other estimates are sensitivities (rows 52-64).</t>
  </si>
  <si>
    <t>Memo: range of the three earlier methods (low / high)</t>
  </si>
  <si>
    <t>Low in column B, high in column C.</t>
  </si>
  <si>
    <t>Memo: franchise-heavy MEDIAN beta relevered, WACC (= low case, row 54)</t>
  </si>
  <si>
    <t>Shows how much SBUX/CMG (company-operated, higher beta) lift the peer beta.</t>
  </si>
  <si>
    <t>Memo: book equity 30-Jun-2026 (not used)</t>
  </si>
  <si>
    <t>10-Q: negative after decades of buybacks, so book weights are meaningless.</t>
  </si>
  <si>
    <t>PRIMARY BETA - BOTTOM-UP FROM FRANCHISE-HEAVY PEERS (&gt;= 90% of restaurants franchised: YUM, QSR, DPZ)</t>
  </si>
  <si>
    <t>Mean unlevered beta, franchise-heavy peers</t>
  </si>
  <si>
    <t>Each peer's 5Y monthly beta unlevered at its market D/E excl. operating leases (Comps col. M). Mean, not median: with three peers the median ignores DPZ's higher operating risk from its supply chain.</t>
  </si>
  <si>
    <t>Relevering factor to MCD: 1 + (1 - t) x D/E</t>
  </si>
  <si>
    <t>MCD D/E = fair-value debt / diluted market cap (B15), 24-Sep close.</t>
  </si>
  <si>
    <t>PRIMARY BETA (relevered to MCD)</t>
  </si>
  <si>
    <t>About 0.60. Cross-check: MCD's own Blume-adjusted beta is also 0.60 (B20), so two independent routes agree.</t>
  </si>
  <si>
    <t>Cost of equity - primary</t>
  </si>
  <si>
    <t>rf + beta x ERP</t>
  </si>
  <si>
    <t>Unchanged: 5.18% + 0.90% spread, after 22% tax.</t>
  </si>
  <si>
    <t>WACC - primary (market-value weights, current structure)</t>
  </si>
  <si>
    <t>Feeds B39 and the DCF.</t>
  </si>
  <si>
    <t>BETA SENSITIVITIES AND CROSS-CHECKS (not in the base case)</t>
  </si>
  <si>
    <t>Beta estimate</t>
  </si>
  <si>
    <t>Beta</t>
  </si>
  <si>
    <t>WACC</t>
  </si>
  <si>
    <t>Role</t>
  </si>
  <si>
    <t>Franchise-heavy MEDIAN unlevered beta, relevered</t>
  </si>
  <si>
    <t>Low case: the median of three is just YUM and discards DPZ.</t>
  </si>
  <si>
    <t>PRIMARY: franchise-heavy MEAN unlevered beta, relevered</t>
  </si>
  <si>
    <t>Base case.</t>
  </si>
  <si>
    <t>Conservative blend: B66 on franchise-heavy, rest on all five</t>
  </si>
  <si>
    <t>Alternative if extra caution is wanted (~0.65).</t>
  </si>
  <si>
    <t>All five peers: MEAN unlevered beta, relevered</t>
  </si>
  <si>
    <t>High case (~0.80): SBUX and CMG carry company-operated risk MCD does not.</t>
  </si>
  <si>
    <t>All five peers: median unlevered, relevered (earlier method 2)</t>
  </si>
  <si>
    <t>Earlier method 2.</t>
  </si>
  <si>
    <t>All five: median unlevered at peer-median D/Cap (earlier method 3)</t>
  </si>
  <si>
    <t>Earlier method 3; uses 23% debt / capital, which is why the old 8.04% average cannot be rebuilt with an 18% weight.</t>
  </si>
  <si>
    <t>MCD historical beta, Blume-adjusted (earlier method 1)</t>
  </si>
  <si>
    <t>Cross-check: equals the primary beta.</t>
  </si>
  <si>
    <t>MCD raw 5-year monthly beta</t>
  </si>
  <si>
    <t>Lower-bound cross-check only: one regression, sensitive to period and frequency.</t>
  </si>
  <si>
    <t>Raw median of the five peer levered betas</t>
  </si>
  <si>
    <t>Not used: the median is CMG, a company-operated fast-casual chain.</t>
  </si>
  <si>
    <t>Broad U.S. restaurant sector (Damodaran), levered</t>
  </si>
  <si>
    <t>Outer bound. Figure taken from the beta treatment note, not independently verified.</t>
  </si>
  <si>
    <t>Earlier base: equal-weight average of methods 1-3</t>
  </si>
  <si>
    <t>Replaced 26-Sep.</t>
  </si>
  <si>
    <t>Blend weight on the franchise-heavy beta (row 56)</t>
  </si>
  <si>
    <t>Beta treatment note: 75% franchise-heavy / 25% all peers.</t>
  </si>
  <si>
    <t>BETA RECONCILIATION (report footnote)</t>
  </si>
  <si>
    <t>0.41 = MCD raw 5-year monthly beta vs the S&amp;P 500 (Market_WACC B10); shown on page 1 of the report, used only as a cross-check.</t>
  </si>
  <si>
    <t>0.60 = WACC beta: YUM, QSR and DPZ betas unlevered at market D/E excluding operating leases (as in the DCF), averaged, relevered at MCD's D/E. MCD's Blume-adjusted own beta is also 0.60.</t>
  </si>
  <si>
    <t>0.52 / 0.65 / 0.80 = franchise-heavy median, 75/25 blend and all-five-peer mean: sensitivities.</t>
  </si>
  <si>
    <t>Data: all betas are 5Y monthly from one provider (Stock Analysis / S&amp;P Global); all prices and market caps are 24-Sep closes (round 5). Peers are unlevered with net debt while MCD is relevered at gross fair-value debt (effect &lt; 0.01 on beta).</t>
  </si>
  <si>
    <t>MCD'S OWN UNLEVERED BETA (for the peer table; added round 4)</t>
  </si>
  <si>
    <t>MCD raw beta, unlevered at current D/E</t>
  </si>
  <si>
    <t>Comparable with the peer unlevered betas, which are built from raw betas: ~0.35.</t>
  </si>
  <si>
    <t>MCD Blume-adjusted beta, unlevered</t>
  </si>
  <si>
    <t>~0.51, the same as the franchise-heavy peer mean.</t>
  </si>
  <si>
    <t>Memo: WACC beta (relevered equity beta, not unlevered)</t>
  </si>
  <si>
    <t>The 0.60 in the WACC is an equity beta at MCD's capital structure; the peer table must not show it in the unlevered column.</t>
  </si>
  <si>
    <t>Discounted cash flow - intrinsic value per share</t>
  </si>
  <si>
    <t>Unlevered FCF from Forecast. Stub period from the latest balance sheet (30-Jun-2026), mid-year convention, normalised terminal year. Orange = changed after the review.</t>
  </si>
  <si>
    <t>INPUTS</t>
  </si>
  <si>
    <t>Valuation date</t>
  </si>
  <si>
    <t>Balance sheet date (latest 10-Q)</t>
  </si>
  <si>
    <t>NEW: net debt from the Q2-2026 10-Q instead of FY25 year-end (multiples guide Key Rule #15: update the bridge to the latest interim balance sheet).</t>
  </si>
  <si>
    <t>WACC tab B39: primary bottom-up beta from franchise-heavy peers (revised 26-Sep).</t>
  </si>
  <si>
    <t>Terminal growth rate</t>
  </si>
  <si>
    <t>REVISED from 3.0%: guide says 1-3% for developed markets, "perhaps in line with inflation" and below GDP growth (DCF guide Key Rule #6). 3.0% sat at the ceiling; 2.5% is the midpoint of the plausible range.</t>
  </si>
  <si>
    <t>Mid-year convention (1 = on, 0 = year-end)</t>
  </si>
  <si>
    <t>NEW: cash arrives through the year, so mid-year discounting is more accurate (DCF guide Key Rule #11). Stub handled as the guide describes.</t>
  </si>
  <si>
    <t>Cash &amp; equivalents (30-Jun-2026)</t>
  </si>
  <si>
    <t>MCD 10-Q Q2-2026 balance sheet.</t>
  </si>
  <si>
    <t>Long-term debt, carrying (30-Jun-2026)</t>
  </si>
  <si>
    <t>Debt at fair value (30-Jun-2026)</t>
  </si>
  <si>
    <t>MCD 10-Q Q2-2026 fair value note: $38.3bn (quoted prices, Level 2).</t>
  </si>
  <si>
    <t>Net debt used in bridge (fair-value debt - cash)</t>
  </si>
  <si>
    <t>Market value of debt per multiples guide Key Rule #10. Book-value alternative: $39,041m (-$2.2/share).</t>
  </si>
  <si>
    <t>Memo: operating lease liabilities (not deducted)</t>
  </si>
  <si>
    <t>10-Q: current $690m + long-term $14,039m. Not deducted because rent is already inside FCF (no double counting).</t>
  </si>
  <si>
    <t>WACC tab</t>
  </si>
  <si>
    <t>Current share price</t>
  </si>
  <si>
    <t>Free cash flow</t>
  </si>
  <si>
    <t>Terminal (FY31 norm.)</t>
  </si>
  <si>
    <t>Fiscal year end</t>
  </si>
  <si>
    <t>Revenue</t>
  </si>
  <si>
    <t>Unlevered free cash flow</t>
  </si>
  <si>
    <t>Forecast row 43.</t>
  </si>
  <si>
    <t>Share of year after balance-sheet date</t>
  </si>
  <si>
    <t>FY26: only H2 cash flow is counted, because H1 cash is already reflected in the 30-Jun net debt (DCF guide Key Rule #11, stub periods).</t>
  </si>
  <si>
    <t>FCF counted</t>
  </si>
  <si>
    <t>Cash-flow timing date</t>
  </si>
  <si>
    <t>Mid-year: midpoint of the period counted (30-Sep for the FY26 stub, ~1-Jul after). Year-end if the switch is 0.</t>
  </si>
  <si>
    <t>Discount period (years from valuation date)</t>
  </si>
  <si>
    <t>yrs</t>
  </si>
  <si>
    <t>Discount factor</t>
  </si>
  <si>
    <t>PV of FCF</t>
  </si>
  <si>
    <t>NORMALISED TERMINAL YEAR &amp; TERMINAL VALUE</t>
  </si>
  <si>
    <t>Operating margin held at FY2030 level</t>
  </si>
  <si>
    <t>Margin expansion stops at the 2030 target.</t>
  </si>
  <si>
    <t>D&amp;A % of revenue</t>
  </si>
  <si>
    <t>Capex % of revenue (normalised)</t>
  </si>
  <si>
    <t>NEW: FY27-30 average instead of the falling FY30 ratio. Flat $3.45bn capex makes FY30 capex % unusually low, and NEXT partnering runs to 2036 (DCF guide Key Rule #11, normalised terminal year).</t>
  </si>
  <si>
    <t>Working capital &amp; other % of revenue</t>
  </si>
  <si>
    <t>Normalised UFCF margin</t>
  </si>
  <si>
    <t>Terminal-year UFCF = FY31 revenue x this margin.</t>
  </si>
  <si>
    <t>Terminal-year UFCF vs FY2030 UFCF</t>
  </si>
  <si>
    <t>Growth into the terminal year after normalising capex.</t>
  </si>
  <si>
    <t>Terminal value at end-FY2030</t>
  </si>
  <si>
    <t>Perpetuity growth: terminal-year UFCF / (WACC - g).</t>
  </si>
  <si>
    <t>Terminal-value discount period</t>
  </si>
  <si>
    <t>Half a year earlier under the mid-year convention with the perpetuity method (DCF guide Key Rule #11).</t>
  </si>
  <si>
    <t>PV of terminal value</t>
  </si>
  <si>
    <t>Implied exit EV/EBITDA (TV / FY2030E EBITDA)</t>
  </si>
  <si>
    <t>Cross-check vs lease-adjusted peer median and MCD today (checks below).</t>
  </si>
  <si>
    <t>ENTERPRISE VALUE TO VALUE PER SHARE</t>
  </si>
  <si>
    <t>Sum of PV of FCF (H2-FY26 to FY30)</t>
  </si>
  <si>
    <t>Enterprise value</t>
  </si>
  <si>
    <t>Terminal value % of EV</t>
  </si>
  <si>
    <t>Less: net debt (fair value, 30-Jun-2026)</t>
  </si>
  <si>
    <t>Equity value</t>
  </si>
  <si>
    <t>Intrinsic value per share (DCF)</t>
  </si>
  <si>
    <t>Upside / (downside) vs current price</t>
  </si>
  <si>
    <t>GUIDE CHECKS (DCF guide Key Rules #4 and #6)</t>
  </si>
  <si>
    <t>Check</t>
  </si>
  <si>
    <t>Test</t>
  </si>
  <si>
    <t>Result</t>
  </si>
  <si>
    <t>What it means</t>
  </si>
  <si>
    <t>Capex % &gt; D&amp;A % in FY2030</t>
  </si>
  <si>
    <t>capex% - D&amp;A% &gt; 0</t>
  </si>
  <si>
    <t>A growing company must reinvest more than it depreciates.</t>
  </si>
  <si>
    <t>Operating-margin change in final forecast year</t>
  </si>
  <si>
    <t>&lt;= 0.5pp</t>
  </si>
  <si>
    <t>Margins should have stabilised by the end of the forecast.</t>
  </si>
  <si>
    <t>FY2030 UFCF growth</t>
  </si>
  <si>
    <t>context only</t>
  </si>
  <si>
    <t>Still above g because capex is flat in $; the normalised terminal year fixes this.</t>
  </si>
  <si>
    <t>Growth into terminal year (normalised)</t>
  </si>
  <si>
    <t>within 2pp of g</t>
  </si>
  <si>
    <t>The transition into the terminal period should not be abrupt.</t>
  </si>
  <si>
    <t>Terminal growth within 1-3% (developed markets)</t>
  </si>
  <si>
    <t>1% &lt;= g &lt;= 3%</t>
  </si>
  <si>
    <t>No company can outgrow the economy forever.</t>
  </si>
  <si>
    <t>Terminal growth below risk-free rate</t>
  </si>
  <si>
    <t>rf - g &gt; 0</t>
  </si>
  <si>
    <t>Proxy for long-run nominal growth.</t>
  </si>
  <si>
    <t>Implied exit multiple vs lease-adjusted franchise-heavy peer median</t>
  </si>
  <si>
    <t>at or below peers</t>
  </si>
  <si>
    <t>REVISED (feedback): compared with the franchise-heavy median (primary comps set). Exit multiple should not exceed today's peer multiples as growth slows.</t>
  </si>
  <si>
    <t>Implied exit multiple vs MCD LTM EV/EBITDA today</t>
  </si>
  <si>
    <t>Negative = terminal value assumes some multiple compression.</t>
  </si>
  <si>
    <t>Target price - blended DCF and comps, football field and sensitivities</t>
  </si>
  <si>
    <t>Blue on yellow = assumption. Sensitivity cells recompute the full DCF (stub, mid-year, normalised terminal year) for each WACC / growth pair.</t>
  </si>
  <si>
    <t>DCF value per share</t>
  </si>
  <si>
    <t>DCF tab</t>
  </si>
  <si>
    <t>Comps value per share</t>
  </si>
  <si>
    <t>Comps tab: franchise-heavy peers (YUM, QSR, DPZ), 50% forward P/E + 50% LTM EV/EBITDA. REVISED (feedback): was the all-peer median ($292.69).</t>
  </si>
  <si>
    <t>Weight on DCF</t>
  </si>
  <si>
    <t>Your 60/40 split. Consistent with the guide: the DCF is the primary method, comps are the cross-check.</t>
  </si>
  <si>
    <t>Weight on comps</t>
  </si>
  <si>
    <t>Target price (blended)</t>
  </si>
  <si>
    <t>24-Sep-2026 official close (Stock Analysis / S&amp;P Global). REVISED (feedback): was a $240.09 intraday print.</t>
  </si>
  <si>
    <t>Upside / (downside) to target</t>
  </si>
  <si>
    <t>The guide cautions that gaps of ~10-15% are within the margin of error of any valuation.</t>
  </si>
  <si>
    <t>Dividend yield</t>
  </si>
  <si>
    <t>Expected total return (upside + yield)</t>
  </si>
  <si>
    <t>Rating under the report framework</t>
  </si>
  <si>
    <t>Bands in B48 and B50: Buy &gt;= +10%, Sell &lt;= -10%, Hold in between.</t>
  </si>
  <si>
    <t>FOOTBALL FIELD ($ per share) - DCF guide Key Rule #10</t>
  </si>
  <si>
    <t>Methodology</t>
  </si>
  <si>
    <t>Low</t>
  </si>
  <si>
    <t>Base</t>
  </si>
  <si>
    <t>High</t>
  </si>
  <si>
    <t>Range definition</t>
  </si>
  <si>
    <t>DCF (WACC +/- 0.5%, g +/- 0.5%)</t>
  </si>
  <si>
    <t>Inner 3x3 of the DCF sensitivity grid below.</t>
  </si>
  <si>
    <t>Comps: forward P/E</t>
  </si>
  <si>
    <t>Franchise-heavy peers: min / median / max forward P/E x MCD NTM EPS.</t>
  </si>
  <si>
    <t>Comps: LTM EV/EBITDA (lease-adjusted)</t>
  </si>
  <si>
    <t>Franchise-heavy peers: min / median / max LTM EV/EBITDA x MCD LTM EBITDA.</t>
  </si>
  <si>
    <t>24-Sep-2026 close</t>
  </si>
  <si>
    <t>DCF VALUE PER SHARE ($) - WACC vs TERMINAL GROWTH</t>
  </si>
  <si>
    <t>WACC (rows) \ terminal growth (columns)</t>
  </si>
  <si>
    <t>BLENDED TARGET PRICE ($) - WACC vs TERMINAL GROWTH (comps held constant)</t>
  </si>
  <si>
    <t>SENSITIVITY SETTINGS &amp; CHECKS</t>
  </si>
  <si>
    <t>WACC step</t>
  </si>
  <si>
    <t>Base WACC +/- 2 steps (about 6.5-8.5%): covers the beta sensitivities on WACC rows 54-64.</t>
  </si>
  <si>
    <t>Terminal growth step</t>
  </si>
  <si>
    <t>Base g +/- 2 steps (1.5%-3.5%).</t>
  </si>
  <si>
    <t>Check: DCF grid centre - DCF value (should be 0)</t>
  </si>
  <si>
    <t>Check: blended grid centre - target (should be 0)</t>
  </si>
  <si>
    <t>Rating band: 'Buy' at or above total return of</t>
  </si>
  <si>
    <t>REVISED 26-Sep (round 4): exact bands. Buy &gt;= +10%; Hold &gt; -10% and &lt; +10%; Sell &lt;= -10% (12-month total return including dividends). Replaces "Buy above +10 to 15%".</t>
  </si>
  <si>
    <t>Rating band: 'Sell' at or below total return of</t>
  </si>
  <si>
    <t>BETA / WACC CHECK - target under each beta estimate (primary = franchise-heavy bottom-up)</t>
  </si>
  <si>
    <t>DCF $/sh</t>
  </si>
  <si>
    <t>Target $/sh</t>
  </si>
  <si>
    <t>Upside</t>
  </si>
  <si>
    <t>Total return</t>
  </si>
  <si>
    <t>Rating</t>
  </si>
  <si>
    <t>Primary: franchise-heavy bottom-up beta (mean)</t>
  </si>
  <si>
    <t>Beta ~0.60; used in the target.</t>
  </si>
  <si>
    <t>Low: franchise-heavy median beta</t>
  </si>
  <si>
    <t>Beta ~0.52.</t>
  </si>
  <si>
    <t>Conservative blend (75 / 25)</t>
  </si>
  <si>
    <t>Beta ~0.65.</t>
  </si>
  <si>
    <t>High: all five peers, bottom-up mean</t>
  </si>
  <si>
    <t>Beta ~0.80.</t>
  </si>
  <si>
    <t>Earlier base: average of three methods</t>
  </si>
  <si>
    <t>Round-2 base (8.03%); replaced.</t>
  </si>
  <si>
    <t>Check: primary row - target (should be 0)</t>
  </si>
  <si>
    <t>CONSENSUS CROSS-CHECK (added after feedback)</t>
  </si>
  <si>
    <t>Implied consensus NTM EPS (source price / consensus forward P/E)</t>
  </si>
  <si>
    <t>Stock Analysis forward P/E is built on consensus EPS: $240.09 / 18.03x.</t>
  </si>
  <si>
    <t>Model NTM EPS (calendarised, adjusted)</t>
  </si>
  <si>
    <t>Comps tab.</t>
  </si>
  <si>
    <t>Model vs consensus NTM EPS</t>
  </si>
  <si>
    <t>Our earnings path is in line with the Street; the valuation gap comes from the multiple and discount rate, not from EPS.</t>
  </si>
  <si>
    <t>Street mean 12-month target price</t>
  </si>
  <si>
    <t>Stock Analysis MCD overview, 35 analysts, consensus 'Buy', accessed 25-Sep-2026. Several targets were cut after Investor Day (e.g. JPMorgan $260, Baird $250).</t>
  </si>
  <si>
    <t>Our target vs Street mean</t>
  </si>
  <si>
    <t>SCENARIOS, REVERSE DCF AND SENSITIVITIES (numbers used in the report)</t>
  </si>
  <si>
    <t>Bear</t>
  </si>
  <si>
    <t>Bull</t>
  </si>
  <si>
    <t>DCF value in the original scenario runs (WACC 8.04%)</t>
  </si>
  <si>
    <t>Original deck, Figure 14. Scenario forecasts were run outside this workbook.</t>
  </si>
  <si>
    <t>Enterprise value relative to base (from those runs)</t>
  </si>
  <si>
    <t>EV = value x diluted shares + fair-value net debt.</t>
  </si>
  <si>
    <t>DCF value at the current WACC (EV ratio x current EV)</t>
  </si>
  <si>
    <t>Approximation: keeps each scenario's EV ratio to base; exact for the base.</t>
  </si>
  <si>
    <t>Blended target in the original runs</t>
  </si>
  <si>
    <t>Original deck, Figure 14.</t>
  </si>
  <si>
    <t>Comps value relative to base (implied by those runs)</t>
  </si>
  <si>
    <t>Comps move with NTM EPS in each scenario; 0.6 / 0.4 = the weights used in those runs.</t>
  </si>
  <si>
    <t>Comps value (franchise-heavy)</t>
  </si>
  <si>
    <t>Blended target</t>
  </si>
  <si>
    <t>vs current price</t>
  </si>
  <si>
    <t>Probability</t>
  </si>
  <si>
    <t>Probability-weighted target</t>
  </si>
  <si>
    <t>Reverse DCF: price-implied perpetual growth (WACC held)</t>
  </si>
  <si>
    <t>Closed form: solves the terminal value so the DCF equals the price.</t>
  </si>
  <si>
    <t>Reverse DCF: price-implied WACC (g held)</t>
  </si>
  <si>
    <t>Solved by iteration outside Excel on a replica of Forecast / DCF (goal seek); re-run if inputs change.</t>
  </si>
  <si>
    <t>Reverse DCF: price-implied change in comps every year FY26-30</t>
  </si>
  <si>
    <t>Same replica; negative = the price assumes weaker comps than our forecast.</t>
  </si>
  <si>
    <t>Sensitivity: 2028-30 operating margin -1pp: DCF value</t>
  </si>
  <si>
    <t>Same replica; margin cut carried into the terminal year.</t>
  </si>
  <si>
    <t>Sensitivity: 2028-30 operating margin -1pp: blended target</t>
  </si>
  <si>
    <t>Sensitivity: WACC -0.5pp / +0.5pp: blended target</t>
  </si>
  <si>
    <t>Sensitivity: WACC -0.5pp / +0.5pp: DCF value</t>
  </si>
  <si>
    <t>COMPS WEIGHTING CHECK (round 4): target if comps used only one multiple</t>
  </si>
  <si>
    <t>Target with comps on forward P/E only</t>
  </si>
  <si>
    <t>Franchise-heavy median forward P/E x NTM EPS.</t>
  </si>
  <si>
    <t>Target with comps on EV/EBITDA only</t>
  </si>
  <si>
    <t>Franchise-heavy median LTM EV/EBITDA x LTM EBITDA.</t>
  </si>
  <si>
    <t>Target with 50/50 (base)</t>
  </si>
  <si>
    <t>See Comps P31 for why the two get equal weight.</t>
  </si>
  <si>
    <t>Model review against the valuation guides (IBIG Module 4: EV &amp; Multiples; Valuation &amp; DCF)</t>
  </si>
  <si>
    <t>Each row: the guide principle, what the model did, what was changed. Value impacts are approximate, one change at a time in this order.</t>
  </si>
  <si>
    <t>Area</t>
  </si>
  <si>
    <t>Guide principle (source)</t>
  </si>
  <si>
    <t>Before the review</t>
  </si>
  <si>
    <t>Change made / status</t>
  </si>
  <si>
    <t>Status</t>
  </si>
  <si>
    <t>DCF - terminal growth</t>
  </si>
  <si>
    <t>Terminal growth 1-3% in developed markets, in line with inflation, below GDP; UFCF growth should converge to it (DCF Key Rule #6).</t>
  </si>
  <si>
    <t>3.0% - at the ceiling of the range; FY30 UFCF growth 7.1%, so a big jump down into the terminal period.</t>
  </si>
  <si>
    <t>Base g lowered to 2.5%; 1.5-3.5% shown in the grid.</t>
  </si>
  <si>
    <t>Changed</t>
  </si>
  <si>
    <t>DCF - normalised terminal year</t>
  </si>
  <si>
    <t>If final-year FCF growth differs a lot from terminal growth, or capex will change later, build a normalised terminal year (DCF Key Rule #11).</t>
  </si>
  <si>
    <t>Terminal FCF = FY30 UFCF x (1+g); capex fixed at $3.45bn so capex % fell to 11.3%.</t>
  </si>
  <si>
    <t>Terminal-year FCF rebuilt from FY31 revenue with FY30 margin and FY27-30 average capex %. Checks added on DCF tab.</t>
  </si>
  <si>
    <t>Forecast - margin stabilisation</t>
  </si>
  <si>
    <t>Margins should stabilise by the end of the explicit forecast (DCF Key Rule #4).</t>
  </si>
  <si>
    <t>Margin still +0.7pp in FY30.</t>
  </si>
  <si>
    <t>Ramp 47.0 / 49.5 / 51.5 / 52.5 / 53.0%; final step 0.5pp. 2030 end point unchanged.</t>
  </si>
  <si>
    <t>Forecast - non-recurring items</t>
  </si>
  <si>
    <t>Only add back charges that are truly non-recurring (e.g. once in 10 years) (DCF Key Rule #8; Multiples Key Rule #4).</t>
  </si>
  <si>
    <t>FCF built on adjusted operating income - restructuring excluded although it recurred every year 2023-26.</t>
  </si>
  <si>
    <t>Restructuring deducted as a cash cost: $250m FY26 (10-Q guidance), $100m FY27, then nil. Adjusted EPS kept only for P/E (matches consensus).</t>
  </si>
  <si>
    <t>DCF - stock-based comp</t>
  </si>
  <si>
    <t>SBC is a real cost and must not be added back to UFCF (DCF Key Rule #2).</t>
  </si>
  <si>
    <t>Not added back, but the "other cash items" line was sized on CFO - NI - D&amp;A history, which includes an SBC add-back.</t>
  </si>
  <si>
    <t>Line relabelled; stays net negative (-1% of revenue), so there is no SBC add-back in the FCF.</t>
  </si>
  <si>
    <t>Confirmed</t>
  </si>
  <si>
    <t>DCF - taxes</t>
  </si>
  <si>
    <t>Tax on EBIT, excluding the interest tax shield (DCF Key Rule #4).</t>
  </si>
  <si>
    <t>EBIT x 22%.</t>
  </si>
  <si>
    <t>No change.</t>
  </si>
  <si>
    <t>DCF - leases</t>
  </si>
  <si>
    <t>If rent is deducted in FCF, do not deduct lease liabilities in the bridge (DCF Key Rules #6, #13).</t>
  </si>
  <si>
    <t>Rent in FCF, leases excluded from net debt and WACC.</t>
  </si>
  <si>
    <t>No change; lease liability shown as a memo only.</t>
  </si>
  <si>
    <t>DCF - stub &amp; mid-year</t>
  </si>
  <si>
    <t>Count only cash flow not yet generated; mid-year convention is more accurate; TV discounted half a year earlier with the perpetuity method (DCF Key Rule #11).</t>
  </si>
  <si>
    <t>Stub counted from price date against FY25 year-end net debt; year-end discounting.</t>
  </si>
  <si>
    <t>FY26 H2 cash flow counted against the 30-Jun-2026 balance sheet; mid-year switch (on) with the guide's stub mechanics.</t>
  </si>
  <si>
    <t>Bridge - latest balance sheet</t>
  </si>
  <si>
    <t>Update the EV bridge to the most recent interim balance sheet (Multiples Key Rule #15).</t>
  </si>
  <si>
    <t>FY25 year-end cash and debt.</t>
  </si>
  <si>
    <t>30-Jun-2026 10-Q: cash $822m, debt $39,863m carrying / $38,300m fair value.</t>
  </si>
  <si>
    <t>Bridge - market value of debt</t>
  </si>
  <si>
    <t>Use market / fair values of debt where available (Multiples Key Rule #10).</t>
  </si>
  <si>
    <t>Book debt.</t>
  </si>
  <si>
    <t>Fair value of debt ($38.3bn) used in the bridge and WACC weights.</t>
  </si>
  <si>
    <t>Per share - diluted shares</t>
  </si>
  <si>
    <t>Use diluted shares (treasury stock method) (Multiples Key Rule #2).</t>
  </si>
  <si>
    <t>Basic 707.6m shares.</t>
  </si>
  <si>
    <t>709.6m = 707.6m basic + 2.0m TSM dilution (10-Q Q2-26).</t>
  </si>
  <si>
    <t>WACC - beta</t>
  </si>
  <si>
    <t>Banks go beyond historical beta: un-lever peer betas, re-lever at current and target structure, use a range (DCF Key Rule #5).</t>
  </si>
  <si>
    <t>Blume-adjusted historical beta only (0.60) -&gt; WACC 7.47%.</t>
  </si>
  <si>
    <t>Three methods (historical; peer re-levered at current D/E; peer re-levered at peer-median D/Cap); WACC = average. Leases excluded from D/E.</t>
  </si>
  <si>
    <t>WACC - cost of debt</t>
  </si>
  <si>
    <t>Risk-free rate + default spread is an accepted method (DCF Key Rule #5).</t>
  </si>
  <si>
    <t>5.1% + 0.9% = 6.0% pre-tax.</t>
  </si>
  <si>
    <t>No change; fair value below carrying supports a market yield above the old coupons.</t>
  </si>
  <si>
    <t>WACC - ERP</t>
  </si>
  <si>
    <t>Use a reasonable 4-6% range; do not over-think (DCF Key Rule #5).</t>
  </si>
  <si>
    <t>5.0%.</t>
  </si>
  <si>
    <t>Comps - lease consistency</t>
  </si>
  <si>
    <t>Under U.S. GAAP, EBITDA (after rent) pairs with EV excluding operating leases (Multiples Key Rule #9).</t>
  </si>
  <si>
    <t>Source EV/EBITDA used EV including all leases; MCD value backed out with lease-inclusive net debt.</t>
  </si>
  <si>
    <t>Peer EVs re-stated excluding operating lease liabilities (10-Q data); multiples recomputed; MCD bridge excludes leases.</t>
  </si>
  <si>
    <t>Comps - period matching</t>
  </si>
  <si>
    <t>Pair each multiple with the same period metric; LTM for trailing, forward for forward (DCF Key Rule #8; Multiples Key Rules #15-16).</t>
  </si>
  <si>
    <t>Trailing peer EV/EBITDA applied to MCD forward (NTM) EBITDA.</t>
  </si>
  <si>
    <t>Trailing multiple now applied to MCD LTM EBITDA (to 30-Jun-26, GAAP to match source). Forward P/E kept on calendarised NTM EPS. Deviation from the original "forward figures" instruction for EV/EBITDA is deliberate.</t>
  </si>
  <si>
    <t>Comps - range, not a point</t>
  </si>
  <si>
    <t>Apply 25th / median / 75th percentiles to get a range (DCF Key Rule #8).</t>
  </si>
  <si>
    <t>Median only.</t>
  </si>
  <si>
    <t>Percentiles added; football field on Valuation tab.</t>
  </si>
  <si>
    <t>Comps - peer selection</t>
  </si>
  <si>
    <t>Peers should be similar in business and discount rate; 5-10 companies (DCF Key Rule #8).</t>
  </si>
  <si>
    <t>5 peers incl. company-operated SBUX and CMG.</t>
  </si>
  <si>
    <t>Kept as specified; franchise-heavy subset shown as a memo on Comps and WACC.</t>
  </si>
  <si>
    <t>Flagged</t>
  </si>
  <si>
    <t>Sensitivity</t>
  </si>
  <si>
    <t>Always sensitise discount rate vs terminal growth; show a range and conclude cautiously (DCF Key Rule #7).</t>
  </si>
  <si>
    <t>WACC vs g grids.</t>
  </si>
  <si>
    <t>Grids rebuilt on the new mechanics; checks confirm centres tie to base case.</t>
  </si>
  <si>
    <t>Data gap</t>
  </si>
  <si>
    <t>Peer lease data from filings.</t>
  </si>
  <si>
    <t>n/a</t>
  </si>
  <si>
    <t>SBUX Jun-2026 operating lease liability is an estimate (~$9.0bn); it does not affect the median.</t>
  </si>
  <si>
    <t>ROUND 2 - EXTERNAL FEEDBACK REVIEW (25-Sep-2026): what was raised, whether it was right, what changed</t>
  </si>
  <si>
    <t>Feedback point</t>
  </si>
  <si>
    <t>Assessment (accurate? relevant to the model?)</t>
  </si>
  <si>
    <t>Before</t>
  </si>
  <si>
    <t>Change made</t>
  </si>
  <si>
    <t>Share price timestamp</t>
  </si>
  <si>
    <t>Accurate. Official 24-Sep close was $237.02 (open $239.70, range $237.02-$242.56; Stock Analysis / S&amp;P Global history). Relevant: every price-derived metric moves.</t>
  </si>
  <si>
    <t>$240.09 at 9:56am ET; yield 3.22% from the source.</t>
  </si>
  <si>
    <t>Price = close (Market_WACC B6); yield = $7.72 / price; MCD source multiples rescaled to the close (Peers rows 13, 24).</t>
  </si>
  <si>
    <t>Peer price timestamps (not raised)</t>
  </si>
  <si>
    <t>Found during this review: QSR and DPZ at the 23-Sep close, YUM / SBUX / CMG at 24-Sep morning prints.</t>
  </si>
  <si>
    <t>Mixed timestamps.</t>
  </si>
  <si>
    <t>Not changed: consistent closes were not retrievable from the same source. Documented on Peers; a 1% move in both peer multiples moves the comps value ~$3/share. RESOLVED 26-Sep (round 5): peers moved to 24-Sep closes.</t>
  </si>
  <si>
    <t>Resolved (round 5)</t>
  </si>
  <si>
    <t>Comps: 40% weight on a peer set the report called distorted</t>
  </si>
  <si>
    <t>Accurate, and the most important point. The report said franchise-heavy peers fit better (~$251) yet used all five ($293).</t>
  </si>
  <si>
    <t>All-peer median $292.69.</t>
  </si>
  <si>
    <t>Franchise-heavy median (YUM, QSR, DPZ) is the comps leg; range = min / max; all-five kept as memo (Comps row 34).</t>
  </si>
  <si>
    <t>Comps without growth context</t>
  </si>
  <si>
    <t>Valid: multiples alone cannot show whether a discount is deserved.</t>
  </si>
  <si>
    <t>None.</t>
  </si>
  <si>
    <t>Peer growth and business-model table (Comps rows 39-48): QSR / DPZ imply ~14-15% NTM EPS growth vs ~7% for MCD.</t>
  </si>
  <si>
    <t>Added</t>
  </si>
  <si>
    <t>Historical financial analysis thin</t>
  </si>
  <si>
    <t>Valid: history was financial totals only, no operating drivers.</t>
  </si>
  <si>
    <t>Historical_5Y only.</t>
  </si>
  <si>
    <t>New Historical_Drivers tab: comps, units, systemwide sales, take rates, margins, SG&amp;A, FCF conversion, reported ROIC, leverage, coverage.</t>
  </si>
  <si>
    <t>FCF terminology (UFCF vs company FCF conversion)</t>
  </si>
  <si>
    <t>Valid.</t>
  </si>
  <si>
    <t>UFCF and "levered FCF / adj. NI" shown without a clear distinction.</t>
  </si>
  <si>
    <t>Rows relabelled; company-definition conversion (FCF / GAAP NI) added (Forecast rows 48-49).</t>
  </si>
  <si>
    <t>GAAP-to-adjusted bridge</t>
  </si>
  <si>
    <t>Historical_Drivers rows 40-51; ties to reported $12,003m / $12,621m and $11.72 / $12.20 / $6.21.</t>
  </si>
  <si>
    <t>Independent industry and franchisee evidence</t>
  </si>
  <si>
    <t>Valid: industry view relied on management commentary.</t>
  </si>
  <si>
    <t>Company sources only.</t>
  </si>
  <si>
    <t>Industry_Evidence tab (RMS, Black Box, NRA, BLS, Circana, Placer.ai) plus franchisee unit economics from Investor Day.</t>
  </si>
  <si>
    <t>WACC: averaging three methods</t>
  </si>
  <si>
    <t>Partly valid - a judgment, not an error. Using franchise-heavy peers alone would cut WACC to ~7.2% (cost of equity ~2.6pp over Treasuries) and flip the rating to Buy on a method choice.</t>
  </si>
  <si>
    <t>Average of three methods (8.04%).</t>
  </si>
  <si>
    <t>Kept as base. Valuation rows 52-59 show DCF, target and rating under each method. SUPERSEDED 26-Sep by the beta note: see rows 53+.</t>
  </si>
  <si>
    <t>Superseded (round 3)</t>
  </si>
  <si>
    <t>Beta 0.41 vs 0.60 / 0.81 / 0.86</t>
  </si>
  <si>
    <t>Valid presentation point.</t>
  </si>
  <si>
    <t>Unexplained.</t>
  </si>
  <si>
    <t>Reconciliation on WACC rows 44-49.</t>
  </si>
  <si>
    <t>Consensus estimates</t>
  </si>
  <si>
    <t>Valid (data collection).</t>
  </si>
  <si>
    <t>Street target only.</t>
  </si>
  <si>
    <t>Valuation rows 61-66: implied consensus NTM EPS vs model; Street mean target.</t>
  </si>
  <si>
    <t>DCF exit-multiple check</t>
  </si>
  <si>
    <t>Follows from the comps change.</t>
  </si>
  <si>
    <t>vs all-peer median.</t>
  </si>
  <si>
    <t>DCF B61 now vs the franchise-heavy median.</t>
  </si>
  <si>
    <t>"14 cents" wording, Figure 6, page density, ESG, "does not need traffic"</t>
  </si>
  <si>
    <t>Reasonable, but they concern the six-page report / deck, not this model.</t>
  </si>
  <si>
    <t>Apply in the report and deck. The model already defines the take rate per franchised sales dollar (Historical_Drivers row 20).</t>
  </si>
  <si>
    <t>Not for model</t>
  </si>
  <si>
    <t>TARGET BRIDGE - previous file to this version ($ per share)</t>
  </si>
  <si>
    <t>Target in the previous file (typed)</t>
  </si>
  <si>
    <t>Previous version: 0.6 x $223.34 + 0.4 x $292.69.</t>
  </si>
  <si>
    <t>Comps: all-five median -&gt; franchise-heavy median (40% weight)</t>
  </si>
  <si>
    <t>Largest change.</t>
  </si>
  <si>
    <t>DCF: WACC equity weight at the close (60% weight)</t>
  </si>
  <si>
    <t>Typed: round-2 values frozen so this bridge stays a record of that step.</t>
  </si>
  <si>
    <t>Target after round 2 (typed)</t>
  </si>
  <si>
    <t>Check: previous + changes - this version (should be 0)</t>
  </si>
  <si>
    <t>ROUND 3 - BETA TREATMENT NOTE (26-Sep-2026): what it recommends, whether it is right, what changed</t>
  </si>
  <si>
    <t>Recommendation</t>
  </si>
  <si>
    <t>Primary beta = bottom-up, franchise-heavy peers, mean (~0.60)</t>
  </si>
  <si>
    <t>Accurate. The model reproduces it (mean unlevered 0.51 x relevering factor 1.18 = 0.61) and it matches MCD's own Blume-adjusted beta (0.60): two independent routes agree. It also answers the 25-Sep feedback point on WACC.</t>
  </si>
  <si>
    <t>Equal-weight average of three WACC methods: 8.03%.</t>
  </si>
  <si>
    <t>WACC = primary bottom-up beta (WACC rows 44-50, B39); all other estimates are sensitivities (rows 52-64).</t>
  </si>
  <si>
    <t>Stop equal-weighting three methods</t>
  </si>
  <si>
    <t>Accurate: equal weights had no economic basis and hid a choice.</t>
  </si>
  <si>
    <t>Average of methods 1-3.</t>
  </si>
  <si>
    <t>Replaced; earlier base kept as a memo (WACC C64).</t>
  </si>
  <si>
    <t>Mean rather than median for three peers</t>
  </si>
  <si>
    <t>Reasonable judgement: the median (0.52) is just YUM and ignores DPZ's supply-chain risk.</t>
  </si>
  <si>
    <t>Mean used; median is the low case (WACC row 54).</t>
  </si>
  <si>
    <t>Unlever with market D/E, not net debt/EBITDA; exclude operating leases</t>
  </si>
  <si>
    <t>Accurate; the model already did both. Remaining gap: peers are unlevered with net debt while MCD is relevered at gross fair-value debt (gross peer debt not captured on one date). Effect &lt; 0.01 on beta.</t>
  </si>
  <si>
    <t>Same.</t>
  </si>
  <si>
    <t>No change; documented (WACC row 72).</t>
  </si>
  <si>
    <t>All-comps 0.79-0.81 as high case; never the raw 0.94 median</t>
  </si>
  <si>
    <t>Accurate: model gives 0.80 (mean) / 0.81 (median); the raw 0.94 (= CMG) was never used directly.</t>
  </si>
  <si>
    <t>0.81 was method 2.</t>
  </si>
  <si>
    <t>High case in the sensitivity table.</t>
  </si>
  <si>
    <t>"8.04% cannot be rebuilt from published inputs (implies ~8.13%)"</t>
  </si>
  <si>
    <t>Not accurate: method 3 uses the peer-median debt / capital of 23%, not 18%. With that weight the three WACCs are 7.48 / 8.34 / 8.28% and average 8.03-8.04%. The report should have shown per-method weights.</t>
  </si>
  <si>
    <t>No model change (moot after the switch).</t>
  </si>
  <si>
    <t>Not accurate</t>
  </si>
  <si>
    <t>Same-date market data for D/E and betas</t>
  </si>
  <si>
    <t>Valid: peer market caps are 23-24 Sep snapshots (see #22).</t>
  </si>
  <si>
    <t>Mixed.</t>
  </si>
  <si>
    <t>Not refreshed; flagged. RESOLVED 26-Sep (round 5): peers moved to 24-Sep closes.</t>
  </si>
  <si>
    <t>Damodaran restaurant sector beta (~0.92) as outer bound</t>
  </si>
  <si>
    <t>Useful cross-check; figure taken from the note, not verified here.</t>
  </si>
  <si>
    <t>Added (WACC row 63).</t>
  </si>
  <si>
    <t>Franchise-heavy = &gt;= 90% of restaurants franchised; peer mix figures</t>
  </si>
  <si>
    <t>Reasonable analytical threshold; YUM ~97%, DPZ ~99%, SBUX China licensing taken from the note (citing 10-Ks), not re-verified.</t>
  </si>
  <si>
    <t>Qualitative labels.</t>
  </si>
  <si>
    <t>Added to Comps notes (rows 41-45).</t>
  </si>
  <si>
    <t>Report wording and footnote for beta</t>
  </si>
  <si>
    <t>Applied in the Doc and the deck.</t>
  </si>
  <si>
    <t>"WACC: average of three methods".</t>
  </si>
  <si>
    <t>Rewritten.</t>
  </si>
  <si>
    <t>TARGET BRIDGE - round 2 to round 3 ($ per share)</t>
  </si>
  <si>
    <t>DCF: WACC 8.03% -&gt; primary beta WACC (60% weight)</t>
  </si>
  <si>
    <t>Round-2 DCF $223.49 inside the formula for traceability.</t>
  </si>
  <si>
    <t>Target after round 3 (typed)</t>
  </si>
  <si>
    <t>Check (should be 0)</t>
  </si>
  <si>
    <t>ROUND 4 - FOUR FINAL POINTS (26-Sep-2026): assessment and changes</t>
  </si>
  <si>
    <t>Assessment (accurate? relevant?)</t>
  </si>
  <si>
    <t>Figure 10: MCD row shows "0.60 WACC" in the unlevered-beta column</t>
  </si>
  <si>
    <t>Accurate: 0.60 is a relevered equity beta. Comparable MCD unlevered beta (from raw, like the peers) is 0.35; from the adjusted beta 0.51.</t>
  </si>
  <si>
    <t>0.41 / "0.60 WACC"</t>
  </si>
  <si>
    <t>Beta column "0.41 raw / 0.60 adj."; unlevered cell 0.35 (WACC rows 74-77).</t>
  </si>
  <si>
    <t>Rating bands not exact ("+10 to 15%")</t>
  </si>
  <si>
    <t>Accurate: pages 4-5 and Figure 14 already used 10% as the Buy line.</t>
  </si>
  <si>
    <t>Buy-watch 10-15%, Buy 15%+</t>
  </si>
  <si>
    <t>Buy &gt;= +10%; Hold &gt; -10% and &lt; +10%; Sell &lt;= -10% (Valuation B48, B50 and all rating formulas).</t>
  </si>
  <si>
    <t>Risk-free rate dated 23-Sep while the price is the 24-Sep close</t>
  </si>
  <si>
    <t>Accurate: 10-year was 5.11% (23-Sep) and 5.18% (24-Sep), per FRED DGS10 / H.15. Small, but the WACC is shown to two decimals.</t>
  </si>
  <si>
    <t>5.10% (23-Sep)</t>
  </si>
  <si>
    <t>5.18% at the 24-Sep close; cost of debt (UST + 90bp) moves with it.</t>
  </si>
  <si>
    <t>Justify the 50/50 P/E vs EV/EBITDA weighting</t>
  </si>
  <si>
    <t>Accurate: $225 vs $276 is a wide spread and the choice was unexplained.</t>
  </si>
  <si>
    <t>No justification</t>
  </si>
  <si>
    <t>Rationale in Comps P31; single-multiple targets in Valuation rows 89-92.</t>
  </si>
  <si>
    <t>TARGET BRIDGE - round 3 to round 4 ($ per share)</t>
  </si>
  <si>
    <t>DCF: risk-free 5.10% -&gt; 5.18% (60% weight)</t>
  </si>
  <si>
    <t>Target after round 4 (typed)</t>
  </si>
  <si>
    <t>ROUND 5 - PEER PRICES SYNCHRONISED TO THE 24-SEP CLOSE (26-Sep-2026)</t>
  </si>
  <si>
    <t>Synchronise all peer market inputs to the 24-Sep close so "all market inputs as of 24 September" is literally true</t>
  </si>
  <si>
    <t>Accurate. QSR and DPZ were 23-Sep closes and YUM, SBUX, CMG 24-Sep morning prints, while the Doc and deck said all market inputs were at the 24-Sep close. 24-Sep closes verified on the Stock Analysis history pages (S&amp;P Global): YUM 137.34, QSR 70.91, SBUX 93.65, CMG 32.01, DPZ 293.03.</t>
  </si>
  <si>
    <t>Mixed 23/24-Sep snapshot</t>
  </si>
  <si>
    <t>Peers rows 5-9 at the 24-Sep close; source snapshot kept in rows 29-33; multiples, market caps, EVs, D/E and unlevered betas flow through Comps and WACC.</t>
  </si>
  <si>
    <t>TARGET BRIDGE - round 4 to round 5 ($ per share)</t>
  </si>
  <si>
    <t>Comps: peer multiples at the 24-Sep close (40% weight)</t>
  </si>
  <si>
    <t>DCF: beta and WACC at the 24-Sep close (60% weight)</t>
  </si>
  <si>
    <t>Target in this version</t>
  </si>
  <si>
    <t>V6 TIDY-UP (26-Sep-2026)</t>
  </si>
  <si>
    <t>Removed Inputs, Analysis and Session1_Notes (unused Step-1 template and study notes; no other sheet referenced them) and the Step-2 starter WACC block on Market_WACC (7.23%, superseded by the WACC tab). README rebuilt. Valuation unchanged.</t>
  </si>
  <si>
    <t>Reference Data - figures extracted from the filings (do not edit)</t>
  </si>
  <si>
    <t>Values found in the 10-K, Q2 2026 release and call, with page references. Feeds Historical_Drivers, Comps and Forecast.</t>
  </si>
  <si>
    <t>Q2 2025</t>
  </si>
  <si>
    <t>Source (document, page)</t>
  </si>
  <si>
    <t>1. INCOME STATEMENT</t>
  </si>
  <si>
    <t>Rents (franchised)</t>
  </si>
  <si>
    <t>10-K 2025 p.53 Franchise Arrangements</t>
  </si>
  <si>
    <t>Royalties (franchised)</t>
  </si>
  <si>
    <t>10-K 2025 p.53</t>
  </si>
  <si>
    <t>Initial fees (franchised)</t>
  </si>
  <si>
    <t>10-K 2025 p.39 / Q2 26 release p.5-6</t>
  </si>
  <si>
    <t>Sales by Company-owned &amp; operated restaurants</t>
  </si>
  <si>
    <t>Franchised restaurants - occupancy expenses</t>
  </si>
  <si>
    <t>Company-operated restaurant expenses (total)</t>
  </si>
  <si>
    <t>10-K 2025 p.39 (sum of 3 lines) / Q2 26 release</t>
  </si>
  <si>
    <t>Other restaurant expenses</t>
  </si>
  <si>
    <t>10-K 2025 p.39 / Q2 26 release</t>
  </si>
  <si>
    <t>SG&amp;A - depreciation &amp; amortization</t>
  </si>
  <si>
    <t>SG&amp;A - other</t>
  </si>
  <si>
    <t>Other operating (income) expense, net</t>
  </si>
  <si>
    <t>Total operating costs &amp; expenses</t>
  </si>
  <si>
    <t>Operating income (calculated)</t>
  </si>
  <si>
    <t>Nonoperating (income) expense, net</t>
  </si>
  <si>
    <t>Income before taxes</t>
  </si>
  <si>
    <t>Provision for income taxes</t>
  </si>
  <si>
    <t>Net income (calculated)</t>
  </si>
  <si>
    <t>Diluted EPS (calculated)</t>
  </si>
  <si>
    <t>2. TIE-OUT TO REPORTED FIGURES</t>
  </si>
  <si>
    <t>Reported operating income</t>
  </si>
  <si>
    <t>Reported net income</t>
  </si>
  <si>
    <t>Reported diluted EPS</t>
  </si>
  <si>
    <t>Tie-out: calc - reported operating income</t>
  </si>
  <si>
    <t>Should be ~0 (±2 from rounding)</t>
  </si>
  <si>
    <t>Tie-out: calc - reported net income</t>
  </si>
  <si>
    <t>Tie-out: rents+royalties+fees - franchised revenue</t>
  </si>
  <si>
    <t>Should be 0</t>
  </si>
  <si>
    <t>3. PER SHARE, SPECIAL ITEMS &amp; COST MEMO</t>
  </si>
  <si>
    <t>10-K 2025 p.39</t>
  </si>
  <si>
    <t>Special charges, pre-tax (mainly restructuring)</t>
  </si>
  <si>
    <t>10-K 2025 p.13, 18 / Q2 26 release p.2</t>
  </si>
  <si>
    <t>Special charges, after tax</t>
  </si>
  <si>
    <t>10-K 2025 p.13 / Q2 26 release p.3</t>
  </si>
  <si>
    <t>Memo: Food &amp; paper (company-op)</t>
  </si>
  <si>
    <t>Memo: Payroll &amp; employee benefits (company-op)</t>
  </si>
  <si>
    <t>Memo: Occupancy &amp; other (company-op)</t>
  </si>
  <si>
    <t>4. SEGMENT DATA (annual only - not in the Q2 release)</t>
  </si>
  <si>
    <t>Franchised revenues - U.S.</t>
  </si>
  <si>
    <t>10-K 2025 p.14</t>
  </si>
  <si>
    <t>Franchised revenues - IOM</t>
  </si>
  <si>
    <t>Franchised revenues - IDL &amp; Corporate</t>
  </si>
  <si>
    <t>Company-op sales - U.S.</t>
  </si>
  <si>
    <t>Company-op sales - IOM</t>
  </si>
  <si>
    <t>Company-op sales - IDL &amp; Corporate</t>
  </si>
  <si>
    <t>Franchised sales (not revenue) - U.S.</t>
  </si>
  <si>
    <t>10-K 2025 p.15</t>
  </si>
  <si>
    <t>Franchised sales - IOM</t>
  </si>
  <si>
    <t>Franchised sales - IDL</t>
  </si>
  <si>
    <t>Franchised margin - U.S.</t>
  </si>
  <si>
    <t>Franchised margin - IOM</t>
  </si>
  <si>
    <t>Franchised margin - IDL &amp; Corporate</t>
  </si>
  <si>
    <t>Company-op margin - U.S.</t>
  </si>
  <si>
    <t>Company-op margin - IOM</t>
  </si>
  <si>
    <t>Operating income - U.S.</t>
  </si>
  <si>
    <t>10-K 2025 p.18</t>
  </si>
  <si>
    <t>Operating income - IOM</t>
  </si>
  <si>
    <t>Operating income - IDL &amp; Corporate</t>
  </si>
  <si>
    <t>Restaurants at period end - U.S.</t>
  </si>
  <si>
    <t>10-K 2025 p.20</t>
  </si>
  <si>
    <t>Restaurants at period end - IOM</t>
  </si>
  <si>
    <t>Restaurants at period end - IDL</t>
  </si>
  <si>
    <t>5. OPERATING KPIs</t>
  </si>
  <si>
    <t>Comparable sales - Total</t>
  </si>
  <si>
    <t>10-K 2025 p.14 / Q2 26 release p.2 / Q2 26 call</t>
  </si>
  <si>
    <t>10-K 2025 p.14 / Q2 26 release p.2</t>
  </si>
  <si>
    <t>10-K 2025 p.8 / Q2 26 release p.1 (Q2 rounded)</t>
  </si>
  <si>
    <t>Systemwide sales growth, constant currency</t>
  </si>
  <si>
    <t>10-K 2025 p.14 / Q2 26 release p.1 / Q2 26 call</t>
  </si>
  <si>
    <t>Restaurant closures</t>
  </si>
  <si>
    <t>90-day active loyalty users (approx.)</t>
  </si>
  <si>
    <t>Shareholder letter / Q2 26 release p.1</t>
  </si>
  <si>
    <t>Systemwide sales to loyalty members, TTM</t>
  </si>
  <si>
    <t>Q2 26 release p.1</t>
  </si>
  <si>
    <t>6. CASH FLOW</t>
  </si>
  <si>
    <t>10-K 2025 p.42</t>
  </si>
  <si>
    <t>10-K 2025 p.42 (enter as positive)</t>
  </si>
  <si>
    <t>Treasury stock purchases (buybacks)</t>
  </si>
  <si>
    <t>Common stock dividends paid</t>
  </si>
  <si>
    <t>7. BALANCE SHEET (year-end)</t>
  </si>
  <si>
    <t>10-K 2025 p.41</t>
  </si>
  <si>
    <t>Long-term debt</t>
  </si>
  <si>
    <t>Lease liability - current</t>
  </si>
  <si>
    <t>Lease liability - long-term</t>
  </si>
  <si>
    <t>Total shareholders' equity (deficit)</t>
  </si>
  <si>
    <t>8. MARKET DATA (single values - column C)</t>
  </si>
  <si>
    <t>Share price ($)</t>
  </si>
  <si>
    <t>User: enter latest price</t>
  </si>
  <si>
    <t>User</t>
  </si>
  <si>
    <t>Shares outstanding (mm)</t>
  </si>
  <si>
    <t>10-K 2025 cover: 710,398,642 at 31-Jan-2026</t>
  </si>
  <si>
    <t>Annualized dividend per share ($)</t>
  </si>
  <si>
    <t>10-K 2025 p.8: Q4-25 dividend $1.86 x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</si>
</sst>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
    <numFmt numFmtId="165" formatCode="0.0%;\(0.0%\);\-"/>
    <numFmt numFmtId="166" formatCode="\$0.00"/>
    <numFmt numFmtId="167" formatCode="#,##0.0"/>
    <numFmt numFmtId="168" formatCode="0.0\x"/>
    <numFmt numFmtId="169" formatCode="0.00%;\(0.00%\);\-"/>
    <numFmt numFmtId="170" formatCode="\+0.0%;\-0.0%;0.0%"/>
    <numFmt numFmtId="171" formatCode="dd\-mmm\-yyyy"/>
    <numFmt numFmtId="172" formatCode="\$#,##0"/>
    <numFmt numFmtId="173" formatCode="\$#,##0.00"/>
    <numFmt numFmtId="174" formatCode="#,##0.0;\(#,##0.0\);\-"/>
    <numFmt numFmtId="175" formatCode="#,##0.00;\(#,##0.00\);\-"/>
    <numFmt numFmtId="176" formatCode="0.000"/>
    <numFmt numFmtId="177" formatCode="\$0"/>
    <numFmt numFmtId="178" formatCode="\+0.00%;\-0.00%"/>
    <numFmt numFmtId="179" formatCode="\$0.00;&quot;($&quot;0.00\);\-"/>
    <numFmt numFmtId="180" formatCode="\$#,##0.0"/>
  </numFmts>
  <fonts count="17" x14ac:knownFonts="1">
    <font>
      <sz val="11"/>
      <color theme="1"/>
      <name val="Calibri"/>
      <family val="2"/>
      <charset val="1"/>
    </font>
    <font>
      <sz val="10"/>
      <name val="Arial"/>
      <charset val="1"/>
    </font>
    <font>
      <b/>
      <sz val="14"/>
      <color rgb="FF1F3864"/>
      <name val="Arial"/>
      <charset val="1"/>
    </font>
    <font>
      <b/>
      <sz val="10"/>
      <name val="Arial"/>
      <charset val="1"/>
    </font>
    <font>
      <sz val="10"/>
      <color rgb="FF0000FF"/>
      <name val="Arial"/>
      <charset val="1"/>
    </font>
    <font>
      <sz val="10"/>
      <color rgb="FF008000"/>
      <name val="Arial"/>
      <charset val="1"/>
    </font>
    <font>
      <b/>
      <sz val="10"/>
      <color rgb="FF1F3864"/>
      <name val="Arial"/>
      <charset val="1"/>
    </font>
    <font>
      <i/>
      <sz val="10"/>
      <color rgb="FF595959"/>
      <name val="Arial"/>
      <charset val="1"/>
    </font>
    <font>
      <b/>
      <sz val="10"/>
      <color rgb="FFFFFFFF"/>
      <name val="Arial"/>
      <charset val="1"/>
    </font>
    <font>
      <sz val="10"/>
      <color rgb="FF595959"/>
      <name val="Arial"/>
      <charset val="1"/>
    </font>
    <font>
      <sz val="9"/>
      <color rgb="FF595959"/>
      <name val="Arial"/>
      <charset val="1"/>
    </font>
    <font>
      <sz val="10"/>
      <name val="Arial"/>
      <family val="2"/>
    </font>
    <font>
      <sz val="10"/>
      <color rgb="FF404040"/>
      <name val="Arial"/>
      <charset val="1"/>
    </font>
    <font>
      <b/>
      <sz val="10"/>
      <color rgb="FF008000"/>
      <name val="Arial"/>
      <charset val="1"/>
    </font>
    <font>
      <i/>
      <sz val="10"/>
      <name val="Arial"/>
      <charset val="1"/>
    </font>
    <font>
      <b/>
      <sz val="10"/>
      <color rgb="FF404040"/>
      <name val="Arial"/>
      <charset val="1"/>
    </font>
    <font>
      <b/>
      <sz val="10"/>
      <color rgb="FF0000FF"/>
      <name val="Arial"/>
      <charset val="1"/>
    </font>
  </fonts>
  <fills count="11">
    <fill>
      <patternFill patternType="none"/>
    </fill>
    <fill>
      <patternFill patternType="gray125"/>
    </fill>
    <fill>
      <patternFill patternType="solid">
        <fgColor rgb="FFFFFF99"/>
        <bgColor rgb="FFFCE4D6"/>
      </patternFill>
    </fill>
    <fill>
      <patternFill patternType="solid">
        <fgColor rgb="FFD9D9D9"/>
        <bgColor rgb="FFE4DFEC"/>
      </patternFill>
    </fill>
    <fill>
      <patternFill patternType="solid">
        <fgColor rgb="FFE4DFEC"/>
        <bgColor rgb="FFD9D9D9"/>
      </patternFill>
    </fill>
    <fill>
      <patternFill patternType="solid">
        <fgColor rgb="FFDDEBF7"/>
        <bgColor rgb="FFE2EFDA"/>
      </patternFill>
    </fill>
    <fill>
      <patternFill patternType="solid">
        <fgColor rgb="FF1F3864"/>
        <bgColor rgb="FF333399"/>
      </patternFill>
    </fill>
    <fill>
      <patternFill patternType="solid">
        <fgColor rgb="FFFCE4D6"/>
        <bgColor rgb="FFF2F2F2"/>
      </patternFill>
    </fill>
    <fill>
      <patternFill patternType="solid">
        <fgColor rgb="FFE2EFDA"/>
        <bgColor rgb="FFDDEBF7"/>
      </patternFill>
    </fill>
    <fill>
      <patternFill patternType="solid">
        <fgColor rgb="FFF2F2F2"/>
        <bgColor rgb="FFE2EFDA"/>
      </patternFill>
    </fill>
    <fill>
      <patternFill patternType="solid">
        <fgColor rgb="FFF4CCCC"/>
        <bgColor rgb="FFD9D9D9"/>
      </patternFill>
    </fill>
  </fills>
  <borders count="5">
    <border>
      <left/>
      <right/>
      <top/>
      <bottom/>
      <diagonal/>
    </border>
    <border>
      <left/>
      <right/>
      <top style="thin">
        <color rgb="FFBFBFBF"/>
      </top>
      <bottom/>
      <diagonal/>
    </border>
    <border>
      <left/>
      <right/>
      <top style="thin">
        <color auto="1"/>
      </top>
      <bottom style="double">
        <color auto="1"/>
      </bottom>
      <diagonal/>
    </border>
    <border>
      <left/>
      <right/>
      <top style="thin">
        <color auto="1"/>
      </top>
      <bottom/>
      <diagonal/>
    </border>
    <border>
      <left/>
      <right/>
      <top/>
      <bottom style="double">
        <color auto="1"/>
      </bottom>
      <diagonal/>
    </border>
  </borders>
  <cellStyleXfs count="1">
    <xf numFmtId="0" fontId="0" fillId="0" borderId="0"/>
  </cellStyleXfs>
  <cellXfs count="127">
    <xf numFmtId="0" fontId="0" fillId="0" borderId="0" xfId="0"/>
    <xf numFmtId="0" fontId="1" fillId="0" borderId="0" xfId="0" applyFont="1"/>
    <xf numFmtId="0" fontId="3" fillId="0" borderId="0" xfId="0" applyFont="1"/>
    <xf numFmtId="0" fontId="1" fillId="0" borderId="0" xfId="0" applyFont="1" applyAlignment="1">
      <alignment vertical="top" wrapText="1"/>
    </xf>
    <xf numFmtId="0" fontId="3" fillId="0" borderId="0" xfId="0" applyFont="1" applyAlignment="1">
      <alignment vertical="top" wrapText="1"/>
    </xf>
    <xf numFmtId="0" fontId="2" fillId="0" borderId="0" xfId="0" applyFont="1"/>
    <xf numFmtId="0" fontId="4" fillId="2" borderId="0" xfId="0" applyFont="1" applyFill="1" applyAlignment="1">
      <alignment horizontal="center"/>
    </xf>
    <xf numFmtId="0" fontId="1" fillId="0" borderId="0" xfId="0" applyFont="1" applyAlignment="1">
      <alignment horizontal="center"/>
    </xf>
    <xf numFmtId="0" fontId="5" fillId="0" borderId="0" xfId="0" applyFont="1" applyAlignment="1">
      <alignment horizontal="center"/>
    </xf>
    <xf numFmtId="0" fontId="1" fillId="3" borderId="0" xfId="0" applyFont="1" applyFill="1" applyAlignment="1">
      <alignment horizontal="center"/>
    </xf>
    <xf numFmtId="0" fontId="4" fillId="0" borderId="0" xfId="0" applyFont="1" applyAlignment="1">
      <alignment horizontal="center"/>
    </xf>
    <xf numFmtId="0" fontId="1" fillId="4" borderId="0" xfId="0" applyFont="1" applyFill="1" applyAlignment="1">
      <alignment horizontal="center"/>
    </xf>
    <xf numFmtId="0" fontId="1" fillId="0" borderId="0" xfId="0" applyFont="1" applyAlignment="1">
      <alignment wrapText="1"/>
    </xf>
    <xf numFmtId="0" fontId="6" fillId="5" borderId="0" xfId="0" applyFont="1" applyFill="1"/>
    <xf numFmtId="0" fontId="1" fillId="5" borderId="0" xfId="0" applyFont="1" applyFill="1"/>
    <xf numFmtId="0" fontId="7" fillId="0" borderId="0" xfId="0" applyFont="1"/>
    <xf numFmtId="0" fontId="8" fillId="6" borderId="0" xfId="0" applyFont="1" applyFill="1" applyAlignment="1">
      <alignment horizontal="left" vertical="center" wrapText="1"/>
    </xf>
    <xf numFmtId="0" fontId="8" fillId="6" borderId="0" xfId="0" applyFont="1" applyFill="1" applyAlignment="1">
      <alignment horizontal="center" vertical="center" wrapText="1"/>
    </xf>
    <xf numFmtId="0" fontId="0" fillId="5" borderId="0" xfId="0" applyFill="1"/>
    <xf numFmtId="0" fontId="9" fillId="0" borderId="0" xfId="0" applyFont="1"/>
    <xf numFmtId="164" fontId="4" fillId="0" borderId="0" xfId="0" applyNumberFormat="1" applyFont="1"/>
    <xf numFmtId="165" fontId="1" fillId="0" borderId="0" xfId="0" applyNumberFormat="1" applyFont="1"/>
    <xf numFmtId="0" fontId="10" fillId="0" borderId="0" xfId="0" applyFont="1"/>
    <xf numFmtId="164" fontId="3" fillId="0" borderId="1" xfId="0" applyNumberFormat="1" applyFont="1" applyBorder="1"/>
    <xf numFmtId="165" fontId="1" fillId="3" borderId="0" xfId="0" applyNumberFormat="1" applyFont="1" applyFill="1"/>
    <xf numFmtId="164" fontId="0" fillId="3" borderId="0" xfId="0" applyNumberFormat="1" applyFill="1"/>
    <xf numFmtId="166" fontId="4" fillId="0" borderId="0" xfId="0" applyNumberFormat="1" applyFont="1"/>
    <xf numFmtId="166" fontId="0" fillId="3" borderId="0" xfId="0" applyNumberFormat="1" applyFill="1"/>
    <xf numFmtId="164" fontId="1" fillId="0" borderId="0" xfId="0" applyNumberFormat="1" applyFont="1"/>
    <xf numFmtId="167" fontId="4" fillId="0" borderId="0" xfId="0" applyNumberFormat="1" applyFont="1"/>
    <xf numFmtId="164" fontId="3" fillId="0" borderId="0" xfId="0" applyNumberFormat="1" applyFont="1"/>
    <xf numFmtId="164" fontId="1" fillId="3" borderId="0" xfId="0" applyNumberFormat="1" applyFont="1" applyFill="1"/>
    <xf numFmtId="168" fontId="1" fillId="0" borderId="0" xfId="0" applyNumberFormat="1" applyFont="1"/>
    <xf numFmtId="0" fontId="10" fillId="0" borderId="0" xfId="0" applyFont="1" applyAlignment="1">
      <alignment vertical="top" wrapText="1"/>
    </xf>
    <xf numFmtId="167" fontId="1" fillId="0" borderId="0" xfId="0" applyNumberFormat="1" applyFont="1"/>
    <xf numFmtId="169" fontId="1" fillId="0" borderId="0" xfId="0" applyNumberFormat="1" applyFont="1"/>
    <xf numFmtId="165" fontId="4" fillId="0" borderId="0" xfId="0" applyNumberFormat="1" applyFont="1"/>
    <xf numFmtId="168" fontId="5" fillId="0" borderId="0" xfId="0" applyNumberFormat="1" applyFont="1"/>
    <xf numFmtId="164" fontId="5" fillId="0" borderId="0" xfId="0" applyNumberFormat="1" applyFont="1"/>
    <xf numFmtId="166" fontId="1" fillId="0" borderId="0" xfId="0" applyNumberFormat="1" applyFont="1"/>
    <xf numFmtId="166" fontId="5" fillId="0" borderId="0" xfId="0" applyNumberFormat="1" applyFont="1"/>
    <xf numFmtId="0" fontId="12" fillId="0" borderId="0" xfId="0" applyFont="1"/>
    <xf numFmtId="170" fontId="4" fillId="0" borderId="0" xfId="0" applyNumberFormat="1" applyFont="1"/>
    <xf numFmtId="0" fontId="1" fillId="4" borderId="0" xfId="0" applyFont="1" applyFill="1"/>
    <xf numFmtId="171" fontId="4" fillId="0" borderId="0" xfId="0" applyNumberFormat="1" applyFont="1"/>
    <xf numFmtId="4" fontId="4" fillId="0" borderId="0" xfId="0" applyNumberFormat="1" applyFont="1"/>
    <xf numFmtId="172" fontId="1" fillId="0" borderId="0" xfId="0" applyNumberFormat="1" applyFont="1"/>
    <xf numFmtId="2" fontId="4" fillId="0" borderId="0" xfId="0" applyNumberFormat="1" applyFont="1"/>
    <xf numFmtId="10" fontId="4" fillId="0" borderId="0" xfId="0" applyNumberFormat="1" applyFont="1"/>
    <xf numFmtId="168" fontId="4" fillId="0" borderId="0" xfId="0" applyNumberFormat="1" applyFont="1"/>
    <xf numFmtId="10" fontId="1" fillId="0" borderId="0" xfId="0" applyNumberFormat="1" applyFont="1"/>
    <xf numFmtId="0" fontId="1" fillId="0" borderId="2" xfId="0" applyFont="1" applyBorder="1"/>
    <xf numFmtId="173" fontId="4" fillId="0" borderId="0" xfId="0" applyNumberFormat="1" applyFont="1"/>
    <xf numFmtId="173" fontId="1" fillId="0" borderId="0" xfId="0" applyNumberFormat="1" applyFont="1"/>
    <xf numFmtId="2" fontId="1" fillId="0" borderId="0" xfId="0" applyNumberFormat="1" applyFont="1"/>
    <xf numFmtId="173" fontId="3" fillId="0" borderId="1" xfId="0" applyNumberFormat="1" applyFont="1" applyBorder="1"/>
    <xf numFmtId="168" fontId="3" fillId="0" borderId="1" xfId="0" applyNumberFormat="1" applyFont="1" applyBorder="1"/>
    <xf numFmtId="2" fontId="3" fillId="0" borderId="1" xfId="0" applyNumberFormat="1" applyFont="1" applyBorder="1"/>
    <xf numFmtId="173" fontId="3" fillId="0" borderId="0" xfId="0" applyNumberFormat="1" applyFont="1"/>
    <xf numFmtId="168" fontId="3" fillId="0" borderId="0" xfId="0" applyNumberFormat="1" applyFont="1"/>
    <xf numFmtId="2" fontId="3" fillId="0" borderId="0" xfId="0" applyNumberFormat="1" applyFont="1"/>
    <xf numFmtId="0" fontId="3" fillId="4" borderId="0" xfId="0" applyFont="1" applyFill="1"/>
    <xf numFmtId="173" fontId="13" fillId="0" borderId="0" xfId="0" applyNumberFormat="1" applyFont="1"/>
    <xf numFmtId="2" fontId="13" fillId="0" borderId="0" xfId="0" applyNumberFormat="1" applyFont="1"/>
    <xf numFmtId="0" fontId="14" fillId="0" borderId="0" xfId="0" applyFont="1"/>
    <xf numFmtId="165" fontId="14" fillId="0" borderId="0" xfId="0" applyNumberFormat="1" applyFont="1"/>
    <xf numFmtId="0" fontId="15" fillId="0" borderId="0" xfId="0" applyFont="1"/>
    <xf numFmtId="173" fontId="5" fillId="0" borderId="0" xfId="0" applyNumberFormat="1" applyFont="1"/>
    <xf numFmtId="0" fontId="4" fillId="0" borderId="0" xfId="0" applyFont="1"/>
    <xf numFmtId="0" fontId="8" fillId="6" borderId="0" xfId="0" applyFont="1" applyFill="1" applyAlignment="1">
      <alignment horizontal="left" wrapText="1"/>
    </xf>
    <xf numFmtId="0" fontId="8" fillId="6" borderId="0" xfId="0" applyFont="1" applyFill="1" applyAlignment="1">
      <alignment horizontal="center" wrapText="1"/>
    </xf>
    <xf numFmtId="165" fontId="4" fillId="2" borderId="0" xfId="0" applyNumberFormat="1" applyFont="1" applyFill="1"/>
    <xf numFmtId="0" fontId="1" fillId="7" borderId="0" xfId="0" applyFont="1" applyFill="1"/>
    <xf numFmtId="164" fontId="4" fillId="2" borderId="0" xfId="0" applyNumberFormat="1" applyFont="1" applyFill="1"/>
    <xf numFmtId="165" fontId="5" fillId="0" borderId="0" xfId="0" applyNumberFormat="1" applyFont="1"/>
    <xf numFmtId="164" fontId="13" fillId="0" borderId="0" xfId="0" applyNumberFormat="1" applyFont="1"/>
    <xf numFmtId="174" fontId="5" fillId="0" borderId="0" xfId="0" applyNumberFormat="1" applyFont="1"/>
    <xf numFmtId="174" fontId="1" fillId="0" borderId="0" xfId="0" applyNumberFormat="1" applyFont="1"/>
    <xf numFmtId="166" fontId="13" fillId="0" borderId="0" xfId="0" applyNumberFormat="1" applyFont="1"/>
    <xf numFmtId="166" fontId="3" fillId="0" borderId="0" xfId="0" applyNumberFormat="1" applyFont="1"/>
    <xf numFmtId="164" fontId="3" fillId="0" borderId="3" xfId="0" applyNumberFormat="1" applyFont="1" applyBorder="1"/>
    <xf numFmtId="0" fontId="5" fillId="0" borderId="0" xfId="0" applyFont="1"/>
    <xf numFmtId="175" fontId="5" fillId="0" borderId="0" xfId="0" applyNumberFormat="1" applyFont="1"/>
    <xf numFmtId="175" fontId="1" fillId="0" borderId="0" xfId="0" applyNumberFormat="1" applyFont="1"/>
    <xf numFmtId="176" fontId="4" fillId="2" borderId="0" xfId="0" applyNumberFormat="1" applyFont="1" applyFill="1"/>
    <xf numFmtId="2" fontId="5" fillId="0" borderId="0" xfId="0" applyNumberFormat="1" applyFont="1"/>
    <xf numFmtId="165" fontId="3" fillId="0" borderId="0" xfId="0" applyNumberFormat="1" applyFont="1"/>
    <xf numFmtId="168" fontId="3" fillId="8" borderId="0" xfId="0" applyNumberFormat="1" applyFont="1" applyFill="1"/>
    <xf numFmtId="2" fontId="3" fillId="8" borderId="0" xfId="0" applyNumberFormat="1" applyFont="1" applyFill="1"/>
    <xf numFmtId="166" fontId="3" fillId="8" borderId="4" xfId="0" applyNumberFormat="1" applyFont="1" applyFill="1" applyBorder="1"/>
    <xf numFmtId="169" fontId="5" fillId="0" borderId="0" xfId="0" applyNumberFormat="1" applyFont="1"/>
    <xf numFmtId="175" fontId="4" fillId="2" borderId="0" xfId="0" applyNumberFormat="1" applyFont="1" applyFill="1"/>
    <xf numFmtId="176" fontId="1" fillId="0" borderId="0" xfId="0" applyNumberFormat="1" applyFont="1"/>
    <xf numFmtId="169" fontId="4" fillId="2" borderId="0" xfId="0" applyNumberFormat="1" applyFont="1" applyFill="1"/>
    <xf numFmtId="2" fontId="4" fillId="2" borderId="0" xfId="0" applyNumberFormat="1" applyFont="1" applyFill="1"/>
    <xf numFmtId="169" fontId="3" fillId="8" borderId="4" xfId="0" applyNumberFormat="1" applyFont="1" applyFill="1" applyBorder="1"/>
    <xf numFmtId="169" fontId="3" fillId="8" borderId="0" xfId="0" applyNumberFormat="1" applyFont="1" applyFill="1"/>
    <xf numFmtId="169" fontId="3" fillId="0" borderId="0" xfId="0" applyNumberFormat="1" applyFont="1"/>
    <xf numFmtId="171" fontId="5" fillId="0" borderId="0" xfId="0" applyNumberFormat="1" applyFont="1"/>
    <xf numFmtId="171" fontId="4" fillId="2" borderId="0" xfId="0" applyNumberFormat="1" applyFont="1" applyFill="1"/>
    <xf numFmtId="1" fontId="4" fillId="2" borderId="0" xfId="0" applyNumberFormat="1" applyFont="1" applyFill="1"/>
    <xf numFmtId="171" fontId="1" fillId="0" borderId="0" xfId="0" applyNumberFormat="1" applyFont="1"/>
    <xf numFmtId="165" fontId="8" fillId="6" borderId="0" xfId="0" applyNumberFormat="1" applyFont="1" applyFill="1" applyAlignment="1">
      <alignment horizontal="center"/>
    </xf>
    <xf numFmtId="169" fontId="8" fillId="6" borderId="0" xfId="0" applyNumberFormat="1" applyFont="1" applyFill="1"/>
    <xf numFmtId="177" fontId="1" fillId="0" borderId="0" xfId="0" applyNumberFormat="1" applyFont="1" applyAlignment="1">
      <alignment horizontal="center"/>
    </xf>
    <xf numFmtId="177" fontId="3" fillId="8" borderId="0" xfId="0" applyNumberFormat="1" applyFont="1" applyFill="1" applyAlignment="1">
      <alignment horizontal="center"/>
    </xf>
    <xf numFmtId="166" fontId="4" fillId="2" borderId="0" xfId="0" applyNumberFormat="1" applyFont="1" applyFill="1"/>
    <xf numFmtId="178" fontId="4" fillId="0" borderId="0" xfId="0" applyNumberFormat="1" applyFont="1"/>
    <xf numFmtId="0" fontId="1" fillId="7" borderId="0" xfId="0" applyFont="1" applyFill="1" applyAlignment="1">
      <alignment vertical="top" wrapText="1"/>
    </xf>
    <xf numFmtId="0" fontId="1" fillId="8" borderId="0" xfId="0" applyFont="1" applyFill="1" applyAlignment="1">
      <alignment vertical="top" wrapText="1"/>
    </xf>
    <xf numFmtId="0" fontId="1" fillId="2" borderId="0" xfId="0" applyFont="1" applyFill="1" applyAlignment="1">
      <alignment vertical="top" wrapText="1"/>
    </xf>
    <xf numFmtId="0" fontId="1" fillId="9" borderId="0" xfId="0" applyFont="1" applyFill="1" applyAlignment="1">
      <alignment vertical="top" wrapText="1"/>
    </xf>
    <xf numFmtId="166" fontId="16" fillId="0" borderId="0" xfId="0" applyNumberFormat="1" applyFont="1"/>
    <xf numFmtId="0" fontId="1" fillId="10" borderId="0" xfId="0" applyFont="1" applyFill="1" applyAlignment="1">
      <alignment vertical="top" wrapText="1"/>
    </xf>
    <xf numFmtId="0" fontId="3" fillId="0" borderId="1" xfId="0" applyFont="1" applyBorder="1"/>
    <xf numFmtId="0" fontId="9" fillId="0" borderId="1" xfId="0" applyFont="1" applyBorder="1"/>
    <xf numFmtId="0" fontId="0" fillId="0" borderId="1" xfId="0" applyBorder="1"/>
    <xf numFmtId="179" fontId="3" fillId="0" borderId="0" xfId="0" applyNumberFormat="1" applyFont="1"/>
    <xf numFmtId="179" fontId="4" fillId="0" borderId="0" xfId="0" applyNumberFormat="1" applyFont="1"/>
    <xf numFmtId="179" fontId="0" fillId="3" borderId="0" xfId="0" applyNumberFormat="1" applyFill="1"/>
    <xf numFmtId="180" fontId="4" fillId="0" borderId="0" xfId="0" applyNumberFormat="1" applyFont="1"/>
    <xf numFmtId="3" fontId="4" fillId="0" borderId="0" xfId="0" applyNumberFormat="1" applyFont="1"/>
    <xf numFmtId="0" fontId="12" fillId="0" borderId="0" xfId="0" applyFont="1" applyAlignment="1">
      <alignment vertical="top" wrapText="1"/>
    </xf>
    <xf numFmtId="0" fontId="1" fillId="0" borderId="0" xfId="0" applyFont="1"/>
    <xf numFmtId="0" fontId="3" fillId="0" borderId="0" xfId="0" applyFont="1"/>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EFDA"/>
      <rgbColor rgb="FFFFFF99"/>
      <rgbColor rgb="FF99CCFF"/>
      <rgbColor rgb="FFFCE4D6"/>
      <rgbColor rgb="FFCC99FF"/>
      <rgbColor rgb="FFF4CCCC"/>
      <rgbColor rgb="FF3366FF"/>
      <rgbColor rgb="FF33CCCC"/>
      <rgbColor rgb="FF99CC00"/>
      <rgbColor rgb="FFFFCC00"/>
      <rgbColor rgb="FFFF9900"/>
      <rgbColor rgb="FFED7D31"/>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showGridLines="0" tabSelected="1" zoomScaleNormal="100" workbookViewId="0">
      <selection activeCell="D32" sqref="D32"/>
    </sheetView>
  </sheetViews>
  <sheetFormatPr defaultColWidth="8.6328125" defaultRowHeight="14.5" x14ac:dyDescent="0.35"/>
  <cols>
    <col min="1" max="1" width="2" customWidth="1"/>
    <col min="2" max="2" width="22" customWidth="1"/>
    <col min="3" max="3" width="100" customWidth="1"/>
  </cols>
  <sheetData>
    <row r="1" spans="1:3" ht="18.75" customHeight="1" x14ac:dyDescent="0.4">
      <c r="A1" s="1"/>
      <c r="B1" s="5" t="s">
        <v>0</v>
      </c>
      <c r="C1" s="1"/>
    </row>
    <row r="2" spans="1:3" ht="14.25" customHeight="1" x14ac:dyDescent="0.35">
      <c r="A2" s="1"/>
      <c r="B2" s="1"/>
      <c r="C2" s="1"/>
    </row>
    <row r="3" spans="1:3" ht="27.75" customHeight="1" x14ac:dyDescent="0.35">
      <c r="A3" s="1"/>
      <c r="B3" s="2" t="s">
        <v>1</v>
      </c>
      <c r="C3" s="3" t="s">
        <v>2</v>
      </c>
    </row>
    <row r="4" spans="1:3" ht="27.75" customHeight="1" x14ac:dyDescent="0.35">
      <c r="A4" s="1"/>
      <c r="B4" s="2" t="s">
        <v>3</v>
      </c>
      <c r="C4" s="3" t="s">
        <v>4</v>
      </c>
    </row>
    <row r="5" spans="1:3" ht="27.75" customHeight="1" x14ac:dyDescent="0.35">
      <c r="A5" s="1"/>
      <c r="B5" s="2" t="s">
        <v>5</v>
      </c>
      <c r="C5" s="3" t="s">
        <v>6</v>
      </c>
    </row>
    <row r="6" spans="1:3" ht="14.25" customHeight="1" x14ac:dyDescent="0.35">
      <c r="A6" s="1"/>
      <c r="B6" s="1"/>
      <c r="C6" s="3"/>
    </row>
    <row r="7" spans="1:3" ht="27.75" customHeight="1" x14ac:dyDescent="0.35">
      <c r="A7" s="1"/>
      <c r="B7" s="1"/>
      <c r="C7" s="3"/>
    </row>
    <row r="8" spans="1:3" ht="27.75" customHeight="1" x14ac:dyDescent="0.35">
      <c r="A8" s="1"/>
      <c r="B8" s="1"/>
      <c r="C8" s="3"/>
    </row>
    <row r="9" spans="1:3" ht="27.75" customHeight="1" x14ac:dyDescent="0.35">
      <c r="A9" s="1"/>
      <c r="B9" s="1"/>
      <c r="C9" s="3"/>
    </row>
    <row r="10" spans="1:3" ht="14.25" customHeight="1" x14ac:dyDescent="0.35">
      <c r="B10" s="2" t="s">
        <v>7</v>
      </c>
      <c r="C10" s="3"/>
    </row>
    <row r="11" spans="1:3" ht="14.25" customHeight="1" x14ac:dyDescent="0.35">
      <c r="B11" s="6" t="s">
        <v>8</v>
      </c>
      <c r="C11" s="1" t="s">
        <v>9</v>
      </c>
    </row>
    <row r="12" spans="1:3" ht="14.25" customHeight="1" x14ac:dyDescent="0.35">
      <c r="B12" s="7" t="s">
        <v>8</v>
      </c>
      <c r="C12" s="1" t="s">
        <v>10</v>
      </c>
    </row>
    <row r="13" spans="1:3" ht="14.25" customHeight="1" x14ac:dyDescent="0.35">
      <c r="B13" s="8" t="s">
        <v>8</v>
      </c>
      <c r="C13" s="1" t="s">
        <v>11</v>
      </c>
    </row>
    <row r="14" spans="1:3" ht="14.25" customHeight="1" x14ac:dyDescent="0.35">
      <c r="B14" s="9"/>
      <c r="C14" s="1" t="s">
        <v>12</v>
      </c>
    </row>
    <row r="15" spans="1:3" ht="14.25" customHeight="1" x14ac:dyDescent="0.35">
      <c r="B15" s="10" t="s">
        <v>8</v>
      </c>
      <c r="C15" s="1" t="s">
        <v>13</v>
      </c>
    </row>
    <row r="16" spans="1:3" ht="14.25" customHeight="1" x14ac:dyDescent="0.35">
      <c r="B16" s="11" t="s">
        <v>14</v>
      </c>
      <c r="C16" s="1" t="s">
        <v>15</v>
      </c>
    </row>
    <row r="17" spans="1:3" ht="27.75" customHeight="1" x14ac:dyDescent="0.35">
      <c r="B17" s="2" t="s">
        <v>16</v>
      </c>
      <c r="C17" s="12" t="s">
        <v>17</v>
      </c>
    </row>
    <row r="18" spans="1:3" ht="27.75" customHeight="1" x14ac:dyDescent="0.35">
      <c r="B18" s="2" t="s">
        <v>18</v>
      </c>
      <c r="C18" s="12" t="s">
        <v>19</v>
      </c>
    </row>
    <row r="19" spans="1:3" ht="14.25" customHeight="1" x14ac:dyDescent="0.35">
      <c r="A19" s="1"/>
      <c r="B19" s="1"/>
      <c r="C19" s="1"/>
    </row>
    <row r="20" spans="1:3" ht="14.25" customHeight="1" x14ac:dyDescent="0.35">
      <c r="A20" s="1"/>
      <c r="B20" s="13" t="s">
        <v>20</v>
      </c>
      <c r="C20" s="14"/>
    </row>
    <row r="21" spans="1:3" ht="27.75" customHeight="1" x14ac:dyDescent="0.35">
      <c r="A21" s="1"/>
      <c r="B21" s="1" t="s">
        <v>21</v>
      </c>
      <c r="C21" s="3" t="s">
        <v>22</v>
      </c>
    </row>
    <row r="22" spans="1:3" ht="27.75" customHeight="1" x14ac:dyDescent="0.35">
      <c r="A22" s="1"/>
      <c r="B22" s="1" t="s">
        <v>23</v>
      </c>
      <c r="C22" s="3" t="s">
        <v>24</v>
      </c>
    </row>
    <row r="23" spans="1:3" ht="27.75" customHeight="1" x14ac:dyDescent="0.35">
      <c r="A23" s="1"/>
      <c r="B23" s="1" t="s">
        <v>25</v>
      </c>
      <c r="C23" s="3" t="s">
        <v>26</v>
      </c>
    </row>
    <row r="24" spans="1:3" ht="27.75" customHeight="1" x14ac:dyDescent="0.35">
      <c r="A24" s="1"/>
      <c r="B24" s="1" t="s">
        <v>27</v>
      </c>
      <c r="C24" s="3" t="s">
        <v>28</v>
      </c>
    </row>
    <row r="25" spans="1:3" ht="27.75" customHeight="1" x14ac:dyDescent="0.35">
      <c r="A25" s="1"/>
      <c r="B25" s="1" t="s">
        <v>29</v>
      </c>
      <c r="C25" s="3" t="s">
        <v>30</v>
      </c>
    </row>
    <row r="26" spans="1:3" ht="27.75" customHeight="1" x14ac:dyDescent="0.35">
      <c r="A26" s="1"/>
      <c r="B26" s="1" t="s">
        <v>31</v>
      </c>
      <c r="C26" s="3" t="s">
        <v>32</v>
      </c>
    </row>
    <row r="27" spans="1:3" ht="27.75" customHeight="1" x14ac:dyDescent="0.35">
      <c r="A27" s="1"/>
      <c r="B27" s="1" t="s">
        <v>33</v>
      </c>
      <c r="C27" s="3" t="s">
        <v>34</v>
      </c>
    </row>
    <row r="28" spans="1:3" ht="27.75" customHeight="1" x14ac:dyDescent="0.35">
      <c r="A28" s="1"/>
      <c r="B28" s="1" t="s">
        <v>35</v>
      </c>
      <c r="C28" s="3" t="s">
        <v>36</v>
      </c>
    </row>
    <row r="29" spans="1:3" ht="27.75" customHeight="1" x14ac:dyDescent="0.35">
      <c r="A29" s="1"/>
      <c r="B29" s="1" t="s">
        <v>37</v>
      </c>
      <c r="C29" s="3" t="s">
        <v>38</v>
      </c>
    </row>
    <row r="30" spans="1:3" ht="27.75" customHeight="1" x14ac:dyDescent="0.35">
      <c r="A30" s="1"/>
      <c r="B30" s="1" t="s">
        <v>39</v>
      </c>
      <c r="C30" s="3" t="s">
        <v>40</v>
      </c>
    </row>
    <row r="31" spans="1:3" ht="27.75" customHeight="1" x14ac:dyDescent="0.35">
      <c r="A31" s="1"/>
      <c r="B31" s="1" t="s">
        <v>41</v>
      </c>
      <c r="C31" s="3" t="s">
        <v>42</v>
      </c>
    </row>
    <row r="32" spans="1:3" ht="27.75" customHeight="1" x14ac:dyDescent="0.35">
      <c r="A32" s="1"/>
      <c r="B32" s="1" t="s">
        <v>43</v>
      </c>
      <c r="C32" s="3" t="s">
        <v>44</v>
      </c>
    </row>
    <row r="33" spans="1:3" ht="14.25" customHeight="1" x14ac:dyDescent="0.35">
      <c r="A33" s="1"/>
      <c r="B33" s="1"/>
      <c r="C33" s="1"/>
    </row>
    <row r="34" spans="1:3" ht="23.25" customHeight="1" x14ac:dyDescent="0.35">
      <c r="A34" s="1"/>
      <c r="B34" s="1"/>
      <c r="C34" s="12"/>
    </row>
    <row r="35" spans="1:3" ht="23.25" customHeight="1" x14ac:dyDescent="0.35">
      <c r="A35" s="1"/>
      <c r="B35" s="1"/>
      <c r="C35" s="12"/>
    </row>
    <row r="36" spans="1:3" ht="14.25" customHeight="1" x14ac:dyDescent="0.35">
      <c r="A36" s="1"/>
      <c r="B36" s="1"/>
      <c r="C36" s="12"/>
    </row>
    <row r="37" spans="1:3" ht="14.25" customHeight="1" x14ac:dyDescent="0.35">
      <c r="A37" s="1"/>
      <c r="B37" s="1"/>
      <c r="C37" s="1"/>
    </row>
    <row r="38" spans="1:3" ht="14.25" customHeight="1" x14ac:dyDescent="0.35">
      <c r="A38" s="1"/>
      <c r="B38" s="1"/>
      <c r="C38" s="1"/>
    </row>
    <row r="39" spans="1:3" ht="14.25" customHeight="1" x14ac:dyDescent="0.35">
      <c r="A39" s="1"/>
      <c r="B39" s="1"/>
      <c r="C39" s="1"/>
    </row>
    <row r="40" spans="1:3" ht="14.25" customHeight="1" x14ac:dyDescent="0.35">
      <c r="A40" s="1"/>
      <c r="B40" s="1"/>
      <c r="C40" s="1"/>
    </row>
    <row r="41" spans="1:3" ht="14.25" customHeight="1" x14ac:dyDescent="0.35">
      <c r="A41" s="1"/>
      <c r="B41" s="1"/>
      <c r="C41" s="1"/>
    </row>
    <row r="42" spans="1:3" ht="14.25" customHeight="1" x14ac:dyDescent="0.35">
      <c r="A42" s="1"/>
      <c r="B42" s="1"/>
      <c r="C42" s="1"/>
    </row>
    <row r="43" spans="1:3" ht="14.25" customHeight="1" x14ac:dyDescent="0.35">
      <c r="A43" s="1"/>
      <c r="B43" s="1"/>
      <c r="C43" s="1"/>
    </row>
    <row r="44" spans="1:3" ht="14.25" customHeight="1" x14ac:dyDescent="0.35">
      <c r="A44" s="1"/>
      <c r="B44" s="1"/>
      <c r="C44" s="1"/>
    </row>
    <row r="45" spans="1:3" ht="14.25" customHeight="1" x14ac:dyDescent="0.35">
      <c r="A45" s="1"/>
      <c r="B45" s="1"/>
      <c r="C45" s="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2"/>
  <sheetViews>
    <sheetView showGridLines="0" zoomScaleNormal="100" workbookViewId="0">
      <pane ySplit="4" topLeftCell="A83" activePane="bottomLeft" state="frozen"/>
      <selection pane="bottomLeft"/>
    </sheetView>
  </sheetViews>
  <sheetFormatPr defaultColWidth="8.6328125" defaultRowHeight="14.5" x14ac:dyDescent="0.35"/>
  <cols>
    <col min="1" max="1" width="42" customWidth="1"/>
    <col min="2" max="7" width="12" customWidth="1"/>
    <col min="8" max="8" width="70" customWidth="1"/>
  </cols>
  <sheetData>
    <row r="1" spans="1:8" ht="17.25" customHeight="1" x14ac:dyDescent="0.4">
      <c r="A1" s="5" t="s">
        <v>702</v>
      </c>
    </row>
    <row r="2" spans="1:8" ht="15" customHeight="1" x14ac:dyDescent="0.35">
      <c r="A2" s="19" t="s">
        <v>703</v>
      </c>
    </row>
    <row r="4" spans="1:8" ht="15" customHeight="1" x14ac:dyDescent="0.35">
      <c r="A4" s="69" t="s">
        <v>266</v>
      </c>
      <c r="B4" s="70" t="s">
        <v>200</v>
      </c>
      <c r="C4" s="70" t="s">
        <v>48</v>
      </c>
      <c r="D4" s="70"/>
      <c r="E4" s="70"/>
      <c r="F4" s="70"/>
      <c r="G4" s="70"/>
      <c r="H4" s="69" t="s">
        <v>180</v>
      </c>
    </row>
    <row r="5" spans="1:8" ht="15" customHeight="1" x14ac:dyDescent="0.35">
      <c r="A5" s="1" t="s">
        <v>704</v>
      </c>
      <c r="B5" s="40">
        <f>DCF!B50</f>
        <v>248.87211846208905</v>
      </c>
      <c r="C5" s="19" t="s">
        <v>270</v>
      </c>
      <c r="H5" s="33" t="s">
        <v>705</v>
      </c>
    </row>
    <row r="6" spans="1:8" ht="25.5" customHeight="1" x14ac:dyDescent="0.35">
      <c r="A6" s="43" t="s">
        <v>706</v>
      </c>
      <c r="B6" s="40">
        <f>Comps!D31</f>
        <v>248.13574532066366</v>
      </c>
      <c r="C6" s="19" t="s">
        <v>270</v>
      </c>
      <c r="H6" s="33" t="s">
        <v>707</v>
      </c>
    </row>
    <row r="7" spans="1:8" ht="21.75" customHeight="1" x14ac:dyDescent="0.35">
      <c r="A7" s="1" t="s">
        <v>708</v>
      </c>
      <c r="B7" s="71">
        <v>0.6</v>
      </c>
      <c r="C7" s="19" t="s">
        <v>66</v>
      </c>
      <c r="H7" s="33" t="s">
        <v>709</v>
      </c>
    </row>
    <row r="8" spans="1:8" ht="15" customHeight="1" x14ac:dyDescent="0.35">
      <c r="A8" s="1" t="s">
        <v>710</v>
      </c>
      <c r="B8" s="21">
        <f>1-B7</f>
        <v>0.4</v>
      </c>
      <c r="C8" s="19" t="s">
        <v>66</v>
      </c>
    </row>
    <row r="9" spans="1:8" ht="15" customHeight="1" x14ac:dyDescent="0.35">
      <c r="A9" s="2" t="s">
        <v>711</v>
      </c>
      <c r="B9" s="89">
        <f>B5*B7+B6*B8</f>
        <v>248.5775692055189</v>
      </c>
      <c r="C9" s="19" t="s">
        <v>270</v>
      </c>
    </row>
    <row r="10" spans="1:8" ht="25.5" customHeight="1" x14ac:dyDescent="0.35">
      <c r="A10" s="43" t="s">
        <v>632</v>
      </c>
      <c r="B10" s="40">
        <f>Market_WACC!B6</f>
        <v>237.02</v>
      </c>
      <c r="C10" s="19" t="s">
        <v>270</v>
      </c>
      <c r="H10" s="33" t="s">
        <v>712</v>
      </c>
    </row>
    <row r="11" spans="1:8" ht="15" customHeight="1" x14ac:dyDescent="0.35">
      <c r="A11" s="1" t="s">
        <v>713</v>
      </c>
      <c r="B11" s="21">
        <f>B9/B10-1</f>
        <v>4.8761999854522342E-2</v>
      </c>
      <c r="C11" s="19" t="s">
        <v>66</v>
      </c>
      <c r="H11" s="33" t="s">
        <v>714</v>
      </c>
    </row>
    <row r="12" spans="1:8" ht="15" customHeight="1" x14ac:dyDescent="0.35">
      <c r="A12" s="1" t="s">
        <v>715</v>
      </c>
      <c r="B12" s="74">
        <f>Market_WACC!B17</f>
        <v>3.2571091047169015E-2</v>
      </c>
      <c r="C12" s="19" t="s">
        <v>66</v>
      </c>
    </row>
    <row r="13" spans="1:8" ht="15" customHeight="1" x14ac:dyDescent="0.35">
      <c r="A13" s="1" t="s">
        <v>716</v>
      </c>
      <c r="B13" s="21">
        <f>B11+B12</f>
        <v>8.1333090901691357E-2</v>
      </c>
      <c r="C13" s="19" t="s">
        <v>66</v>
      </c>
    </row>
    <row r="14" spans="1:8" ht="15" customHeight="1" x14ac:dyDescent="0.35">
      <c r="A14" s="43" t="s">
        <v>717</v>
      </c>
      <c r="B14" s="2" t="str">
        <f>IF(B13&gt;=B48,"Buy",IF(B13&lt;=B50,"Sell","Hold"))</f>
        <v>Hold</v>
      </c>
      <c r="H14" s="33" t="s">
        <v>718</v>
      </c>
    </row>
    <row r="15" spans="1:8" ht="15" customHeight="1" x14ac:dyDescent="0.35">
      <c r="A15" s="13" t="s">
        <v>719</v>
      </c>
      <c r="B15" s="18"/>
      <c r="C15" s="18"/>
      <c r="D15" s="18"/>
      <c r="E15" s="18"/>
      <c r="F15" s="18"/>
      <c r="G15" s="18"/>
      <c r="H15" s="18"/>
    </row>
    <row r="16" spans="1:8" ht="15" customHeight="1" x14ac:dyDescent="0.35">
      <c r="A16" s="69" t="s">
        <v>720</v>
      </c>
      <c r="B16" s="70" t="s">
        <v>721</v>
      </c>
      <c r="C16" s="70" t="s">
        <v>722</v>
      </c>
      <c r="D16" s="70" t="s">
        <v>723</v>
      </c>
      <c r="E16" s="70"/>
      <c r="F16" s="70"/>
      <c r="G16" s="70"/>
      <c r="H16" s="69" t="s">
        <v>724</v>
      </c>
    </row>
    <row r="17" spans="1:8" ht="15" customHeight="1" x14ac:dyDescent="0.35">
      <c r="A17" s="1" t="s">
        <v>725</v>
      </c>
      <c r="B17" s="39">
        <f>MIN(D24:F26)</f>
        <v>203.20742239378092</v>
      </c>
      <c r="C17" s="79">
        <f>DCF!B50</f>
        <v>248.87211846208905</v>
      </c>
      <c r="D17" s="39">
        <f>MAX(D24:F26)</f>
        <v>316.97121148455722</v>
      </c>
      <c r="H17" s="33" t="s">
        <v>726</v>
      </c>
    </row>
    <row r="18" spans="1:8" ht="15" customHeight="1" x14ac:dyDescent="0.35">
      <c r="A18" s="1" t="s">
        <v>727</v>
      </c>
      <c r="B18" s="39">
        <f>Comps!C29</f>
        <v>193.29336475599743</v>
      </c>
      <c r="C18" s="79">
        <f>Comps!D29</f>
        <v>223.07439379664456</v>
      </c>
      <c r="D18" s="39">
        <f>Comps!E29</f>
        <v>287.90100051817024</v>
      </c>
      <c r="H18" s="33" t="s">
        <v>728</v>
      </c>
    </row>
    <row r="19" spans="1:8" ht="15" customHeight="1" x14ac:dyDescent="0.35">
      <c r="A19" s="1" t="s">
        <v>729</v>
      </c>
      <c r="B19" s="39">
        <f>Comps!C30</f>
        <v>246.34636291300646</v>
      </c>
      <c r="C19" s="79">
        <f>Comps!D30</f>
        <v>273.19709684468273</v>
      </c>
      <c r="D19" s="39">
        <f>Comps!E30</f>
        <v>289.07562809997069</v>
      </c>
      <c r="H19" s="33" t="s">
        <v>730</v>
      </c>
    </row>
    <row r="20" spans="1:8" ht="15" customHeight="1" x14ac:dyDescent="0.35">
      <c r="A20" s="1" t="s">
        <v>632</v>
      </c>
      <c r="B20" s="39">
        <f>Market_WACC!B6</f>
        <v>237.02</v>
      </c>
      <c r="C20" s="79">
        <f>Market_WACC!B6</f>
        <v>237.02</v>
      </c>
      <c r="D20" s="39">
        <f>Market_WACC!B6</f>
        <v>237.02</v>
      </c>
      <c r="H20" s="33" t="s">
        <v>731</v>
      </c>
    </row>
    <row r="21" spans="1:8" ht="15" customHeight="1" x14ac:dyDescent="0.35">
      <c r="A21" s="13" t="s">
        <v>732</v>
      </c>
      <c r="B21" s="18"/>
      <c r="C21" s="18"/>
      <c r="D21" s="18"/>
      <c r="E21" s="18"/>
      <c r="F21" s="18"/>
      <c r="G21" s="18"/>
      <c r="H21" s="18"/>
    </row>
    <row r="22" spans="1:8" ht="15" customHeight="1" x14ac:dyDescent="0.35">
      <c r="A22" s="2" t="s">
        <v>733</v>
      </c>
      <c r="C22" s="102">
        <f>DCF!$B$8+(-2)*$B$44</f>
        <v>1.5000000000000001E-2</v>
      </c>
      <c r="D22" s="102">
        <f>DCF!$B$8+(-1)*$B$44</f>
        <v>0.02</v>
      </c>
      <c r="E22" s="102">
        <f>DCF!$B$8+(0)*$B$44</f>
        <v>2.5000000000000001E-2</v>
      </c>
      <c r="F22" s="102">
        <f>DCF!$B$8+(1)*$B$44</f>
        <v>3.0000000000000002E-2</v>
      </c>
      <c r="G22" s="102">
        <f>DCF!$B$8+(2)*$B$44</f>
        <v>3.5000000000000003E-2</v>
      </c>
    </row>
    <row r="23" spans="1:8" ht="15" customHeight="1" x14ac:dyDescent="0.35">
      <c r="B23" s="103">
        <f>DCF!$B$7+(-2)*$B$43</f>
        <v>6.5573865906294951E-2</v>
      </c>
      <c r="C23" s="104">
        <f>IF($B23&lt;=C$22,"n/a",(SUMPRODUCT(DCF!$D$23:$H$23/(1+$B23)^DCF!$D$25:$H$25)+DCF!$H$20*(1+C$22)*DCF!$B$35/($B23-C$22)/(1+$B23)^DCF!$B$38-DCF!$B$13)/DCF!$B$15)</f>
        <v>256.2711647574659</v>
      </c>
      <c r="D23" s="104">
        <f>IF($B23&lt;=D$22,"n/a",(SUMPRODUCT(DCF!$D$23:$H$23/(1+$B23)^DCF!$D$25:$H$25)+DCF!$H$20*(1+D$22)*DCF!$B$35/($B23-D$22)/(1+$B23)^DCF!$B$38-DCF!$B$13)/DCF!$B$15)</f>
        <v>285.32705931484196</v>
      </c>
      <c r="E23" s="104">
        <f>IF($B23&lt;=E$22,"n/a",(SUMPRODUCT(DCF!$D$23:$H$23/(1+$B23)^DCF!$D$25:$H$25)+DCF!$H$20*(1+E$22)*DCF!$B$35/($B23-E$22)/(1+$B23)^DCF!$B$38-DCF!$B$13)/DCF!$B$15)</f>
        <v>321.54418781144398</v>
      </c>
      <c r="F23" s="104">
        <f>IF($B23&lt;=F$22,"n/a",(SUMPRODUCT(DCF!$D$23:$H$23/(1+$B23)^DCF!$D$25:$H$25)+DCF!$H$20*(1+F$22)*DCF!$B$35/($B23-F$22)/(1+$B23)^DCF!$B$38-DCF!$B$13)/DCF!$B$15)</f>
        <v>367.94214079082809</v>
      </c>
      <c r="G23" s="104">
        <f>IF($B23&lt;=G$22,"n/a",(SUMPRODUCT(DCF!$D$23:$H$23/(1+$B23)^DCF!$D$25:$H$25)+DCF!$H$20*(1+G$22)*DCF!$B$35/($B23-G$22)/(1+$B23)^DCF!$B$38-DCF!$B$13)/DCF!$B$15)</f>
        <v>429.51578438179143</v>
      </c>
    </row>
    <row r="24" spans="1:8" ht="15" customHeight="1" x14ac:dyDescent="0.35">
      <c r="B24" s="103">
        <f>DCF!$B$7+(-1)*$B$43</f>
        <v>7.0573865906294941E-2</v>
      </c>
      <c r="C24" s="104">
        <f>IF($B24&lt;=C$22,"n/a",(SUMPRODUCT(DCF!$D$23:$H$23/(1+$B24)^DCF!$D$25:$H$25)+DCF!$H$20*(1+C$22)*DCF!$B$35/($B24-C$22)/(1+$B24)^DCF!$B$38-DCF!$B$13)/DCF!$B$15)</f>
        <v>229.01907363945477</v>
      </c>
      <c r="D24" s="104">
        <f>IF($B24&lt;=D$22,"n/a",(SUMPRODUCT(DCF!$D$23:$H$23/(1+$B24)^DCF!$D$25:$H$25)+DCF!$H$20*(1+D$22)*DCF!$B$35/($B24-D$22)/(1+$B24)^DCF!$B$38-DCF!$B$13)/DCF!$B$15)</f>
        <v>252.53951041808077</v>
      </c>
      <c r="E24" s="104">
        <f>IF($B24&lt;=E$22,"n/a",(SUMPRODUCT(DCF!$D$23:$H$23/(1+$B24)^DCF!$D$25:$H$25)+DCF!$H$20*(1+E$22)*DCF!$B$35/($B24-E$22)/(1+$B24)^DCF!$B$38-DCF!$B$13)/DCF!$B$15)</f>
        <v>281.22089554087108</v>
      </c>
      <c r="F24" s="104">
        <f>IF($B24&lt;=F$22,"n/a",(SUMPRODUCT(DCF!$D$23:$H$23/(1+$B24)^DCF!$D$25:$H$25)+DCF!$H$20*(1+F$22)*DCF!$B$35/($B24-F$22)/(1+$B24)^DCF!$B$38-DCF!$B$13)/DCF!$B$15)</f>
        <v>316.97121148455722</v>
      </c>
      <c r="G24" s="104">
        <f>IF($B24&lt;=G$22,"n/a",(SUMPRODUCT(DCF!$D$23:$H$23/(1+$B24)^DCF!$D$25:$H$25)+DCF!$H$20*(1+G$22)*DCF!$B$35/($B24-G$22)/(1+$B24)^DCF!$B$38-DCF!$B$13)/DCF!$B$15)</f>
        <v>362.77112845778998</v>
      </c>
    </row>
    <row r="25" spans="1:8" ht="15" customHeight="1" x14ac:dyDescent="0.35">
      <c r="B25" s="103">
        <f>DCF!$B$7+(0)*$B$43</f>
        <v>7.5573865906294946E-2</v>
      </c>
      <c r="C25" s="104">
        <f>IF($B25&lt;=C$22,"n/a",(SUMPRODUCT(DCF!$D$23:$H$23/(1+$B25)^DCF!$D$25:$H$25)+DCF!$H$20*(1+C$22)*DCF!$B$35/($B25-C$22)/(1+$B25)^DCF!$B$38-DCF!$B$13)/DCF!$B$15)</f>
        <v>206.26787892912517</v>
      </c>
      <c r="D25" s="104">
        <f>IF($B25&lt;=D$22,"n/a",(SUMPRODUCT(DCF!$D$23:$H$23/(1+$B25)^DCF!$D$25:$H$25)+DCF!$H$20*(1+D$22)*DCF!$B$35/($B25-D$22)/(1+$B25)^DCF!$B$38-DCF!$B$13)/DCF!$B$15)</f>
        <v>225.65343958827418</v>
      </c>
      <c r="E25" s="105">
        <f>IF($B25&lt;=E$22,"n/a",(SUMPRODUCT(DCF!$D$23:$H$23/(1+$B25)^DCF!$D$25:$H$25)+DCF!$H$20*(1+E$22)*DCF!$B$35/($B25-E$22)/(1+$B25)^DCF!$B$38-DCF!$B$13)/DCF!$B$15)</f>
        <v>248.87211846208905</v>
      </c>
      <c r="F25" s="104">
        <f>IF($B25&lt;=F$22,"n/a",(SUMPRODUCT(DCF!$D$23:$H$23/(1+$B25)^DCF!$D$25:$H$25)+DCF!$H$20*(1+F$22)*DCF!$B$35/($B25-F$22)/(1+$B25)^DCF!$B$38-DCF!$B$13)/DCF!$B$15)</f>
        <v>277.18553275324933</v>
      </c>
      <c r="G25" s="104">
        <f>IF($B25&lt;=G$22,"n/a",(SUMPRODUCT(DCF!$D$23:$H$23/(1+$B25)^DCF!$D$25:$H$25)+DCF!$H$20*(1+G$22)*DCF!$B$35/($B25-G$22)/(1+$B25)^DCF!$B$38-DCF!$B$13)/DCF!$B$15)</f>
        <v>312.47718627765141</v>
      </c>
    </row>
    <row r="26" spans="1:8" ht="15" customHeight="1" x14ac:dyDescent="0.35">
      <c r="B26" s="103">
        <f>DCF!$B$7+(1)*$B$43</f>
        <v>8.057386590629495E-2</v>
      </c>
      <c r="C26" s="104">
        <f>IF($B26&lt;=C$22,"n/a",(SUMPRODUCT(DCF!$D$23:$H$23/(1+$B26)^DCF!$D$25:$H$25)+DCF!$H$20*(1+C$22)*DCF!$B$35/($B26-C$22)/(1+$B26)^DCF!$B$38-DCF!$B$13)/DCF!$B$15)</f>
        <v>186.9879651171189</v>
      </c>
      <c r="D26" s="104">
        <f>IF($B26&lt;=D$22,"n/a",(SUMPRODUCT(DCF!$D$23:$H$23/(1+$B26)^DCF!$D$25:$H$25)+DCF!$H$20*(1+D$22)*DCF!$B$35/($B26-D$22)/(1+$B26)^DCF!$B$38-DCF!$B$13)/DCF!$B$15)</f>
        <v>203.20742239378092</v>
      </c>
      <c r="E26" s="104">
        <f>IF($B26&lt;=E$22,"n/a",(SUMPRODUCT(DCF!$D$23:$H$23/(1+$B26)^DCF!$D$25:$H$25)+DCF!$H$20*(1+E$22)*DCF!$B$35/($B26-E$22)/(1+$B26)^DCF!$B$38-DCF!$B$13)/DCF!$B$15)</f>
        <v>222.34542006927177</v>
      </c>
      <c r="F26" s="104">
        <f>IF($B26&lt;=F$22,"n/a",(SUMPRODUCT(DCF!$D$23:$H$23/(1+$B26)^DCF!$D$25:$H$25)+DCF!$H$20*(1+F$22)*DCF!$B$35/($B26-F$22)/(1+$B26)^DCF!$B$38-DCF!$B$13)/DCF!$B$15)</f>
        <v>245.26758518629262</v>
      </c>
      <c r="G26" s="104">
        <f>IF($B26&lt;=G$22,"n/a",(SUMPRODUCT(DCF!$D$23:$H$23/(1+$B26)^DCF!$D$25:$H$25)+DCF!$H$20*(1+G$22)*DCF!$B$35/($B26-G$22)/(1+$B26)^DCF!$B$38-DCF!$B$13)/DCF!$B$15)</f>
        <v>273.21942348577988</v>
      </c>
    </row>
    <row r="27" spans="1:8" ht="15" customHeight="1" x14ac:dyDescent="0.35">
      <c r="B27" s="103">
        <f>DCF!$B$7+(2)*$B$43</f>
        <v>8.5573865906294941E-2</v>
      </c>
      <c r="C27" s="104">
        <f>IF($B27&lt;=C$22,"n/a",(SUMPRODUCT(DCF!$D$23:$H$23/(1+$B27)^DCF!$D$25:$H$25)+DCF!$H$20*(1+C$22)*DCF!$B$35/($B27-C$22)/(1+$B27)^DCF!$B$38-DCF!$B$13)/DCF!$B$15)</f>
        <v>170.44150122428002</v>
      </c>
      <c r="D27" s="104">
        <f>IF($B27&lt;=D$22,"n/a",(SUMPRODUCT(DCF!$D$23:$H$23/(1+$B27)^DCF!$D$25:$H$25)+DCF!$H$20*(1+D$22)*DCF!$B$35/($B27-D$22)/(1+$B27)^DCF!$B$38-DCF!$B$13)/DCF!$B$15)</f>
        <v>184.18576882317751</v>
      </c>
      <c r="E27" s="104">
        <f>IF($B27&lt;=E$22,"n/a",(SUMPRODUCT(DCF!$D$23:$H$23/(1+$B27)^DCF!$D$25:$H$25)+DCF!$H$20*(1+E$22)*DCF!$B$35/($B27-E$22)/(1+$B27)^DCF!$B$38-DCF!$B$13)/DCF!$B$15)</f>
        <v>200.19904590219622</v>
      </c>
      <c r="F27" s="104">
        <f>IF($B27&lt;=F$22,"n/a",(SUMPRODUCT(DCF!$D$23:$H$23/(1+$B27)^DCF!$D$25:$H$25)+DCF!$H$20*(1+F$22)*DCF!$B$35/($B27-F$22)/(1+$B27)^DCF!$B$38-DCF!$B$13)/DCF!$B$15)</f>
        <v>219.09376317218874</v>
      </c>
      <c r="G27" s="104">
        <f>IF($B27&lt;=G$22,"n/a",(SUMPRODUCT(DCF!$D$23:$H$23/(1+$B27)^DCF!$D$25:$H$25)+DCF!$H$20*(1+G$22)*DCF!$B$35/($B27-G$22)/(1+$B27)^DCF!$B$38-DCF!$B$13)/DCF!$B$15)</f>
        <v>241.72454390725258</v>
      </c>
    </row>
    <row r="29" spans="1:8" ht="15" customHeight="1" x14ac:dyDescent="0.35">
      <c r="A29" s="13" t="s">
        <v>734</v>
      </c>
      <c r="B29" s="18"/>
      <c r="C29" s="18"/>
      <c r="D29" s="18"/>
      <c r="E29" s="18"/>
      <c r="F29" s="18"/>
      <c r="G29" s="18"/>
      <c r="H29" s="18"/>
    </row>
    <row r="30" spans="1:8" ht="15" customHeight="1" x14ac:dyDescent="0.35">
      <c r="A30" s="2" t="s">
        <v>733</v>
      </c>
      <c r="C30" s="102">
        <f>DCF!$B$8+(-2)*$B$44</f>
        <v>1.5000000000000001E-2</v>
      </c>
      <c r="D30" s="102">
        <f>DCF!$B$8+(-1)*$B$44</f>
        <v>0.02</v>
      </c>
      <c r="E30" s="102">
        <f>DCF!$B$8+(0)*$B$44</f>
        <v>2.5000000000000001E-2</v>
      </c>
      <c r="F30" s="102">
        <f>DCF!$B$8+(1)*$B$44</f>
        <v>3.0000000000000002E-2</v>
      </c>
      <c r="G30" s="102">
        <f>DCF!$B$8+(2)*$B$44</f>
        <v>3.5000000000000003E-2</v>
      </c>
    </row>
    <row r="31" spans="1:8" ht="15" customHeight="1" x14ac:dyDescent="0.35">
      <c r="B31" s="103">
        <f>DCF!$B$7+(-2)*$B$43</f>
        <v>6.5573865906294951E-2</v>
      </c>
      <c r="C31" s="104">
        <f>IF($B31&lt;=C$30,"n/a",$B$7*(SUMPRODUCT(DCF!$D$23:$H$23/(1+$B31)^DCF!$D$25:$H$25)+DCF!$H$20*(1+C$30)*DCF!$B$35/($B31-C$30)/(1+$B31)^DCF!$B$38-DCF!$B$13)/DCF!$B$15+$B$8*$B$6)</f>
        <v>253.01699698274498</v>
      </c>
      <c r="D31" s="104">
        <f>IF($B31&lt;=D$30,"n/a",$B$7*(SUMPRODUCT(DCF!$D$23:$H$23/(1+$B31)^DCF!$D$25:$H$25)+DCF!$H$20*(1+D$30)*DCF!$B$35/($B31-D$30)/(1+$B31)^DCF!$B$38-DCF!$B$13)/DCF!$B$15+$B$8*$B$6)</f>
        <v>270.45053371717063</v>
      </c>
      <c r="E31" s="104">
        <f>IF($B31&lt;=E$30,"n/a",$B$7*(SUMPRODUCT(DCF!$D$23:$H$23/(1+$B31)^DCF!$D$25:$H$25)+DCF!$H$20*(1+E$30)*DCF!$B$35/($B31-E$30)/(1+$B31)^DCF!$B$38-DCF!$B$13)/DCF!$B$15+$B$8*$B$6)</f>
        <v>292.18081081513185</v>
      </c>
      <c r="F31" s="104">
        <f>IF($B31&lt;=F$30,"n/a",$B$7*(SUMPRODUCT(DCF!$D$23:$H$23/(1+$B31)^DCF!$D$25:$H$25)+DCF!$H$20*(1+F$30)*DCF!$B$35/($B31-F$30)/(1+$B31)^DCF!$B$38-DCF!$B$13)/DCF!$B$15+$B$8*$B$6)</f>
        <v>320.01958260276234</v>
      </c>
      <c r="G31" s="104">
        <f>IF($B31&lt;=G$30,"n/a",$B$7*(SUMPRODUCT(DCF!$D$23:$H$23/(1+$B31)^DCF!$D$25:$H$25)+DCF!$H$20*(1+G$30)*DCF!$B$35/($B31-G$30)/(1+$B31)^DCF!$B$38-DCF!$B$13)/DCF!$B$15+$B$8*$B$6)</f>
        <v>356.96376875734035</v>
      </c>
    </row>
    <row r="32" spans="1:8" ht="15" customHeight="1" x14ac:dyDescent="0.35">
      <c r="B32" s="103">
        <f>DCF!$B$7+(-1)*$B$43</f>
        <v>7.0573865906294941E-2</v>
      </c>
      <c r="C32" s="104">
        <f>IF($B32&lt;=C$30,"n/a",$B$7*(SUMPRODUCT(DCF!$D$23:$H$23/(1+$B32)^DCF!$D$25:$H$25)+DCF!$H$20*(1+C$30)*DCF!$B$35/($B32-C$30)/(1+$B32)^DCF!$B$38-DCF!$B$13)/DCF!$B$15+$B$8*$B$6)</f>
        <v>236.66574231193835</v>
      </c>
      <c r="D32" s="104">
        <f>IF($B32&lt;=D$30,"n/a",$B$7*(SUMPRODUCT(DCF!$D$23:$H$23/(1+$B32)^DCF!$D$25:$H$25)+DCF!$H$20*(1+D$30)*DCF!$B$35/($B32-D$30)/(1+$B32)^DCF!$B$38-DCF!$B$13)/DCF!$B$15+$B$8*$B$6)</f>
        <v>250.77800437911395</v>
      </c>
      <c r="E32" s="104">
        <f>IF($B32&lt;=E$30,"n/a",$B$7*(SUMPRODUCT(DCF!$D$23:$H$23/(1+$B32)^DCF!$D$25:$H$25)+DCF!$H$20*(1+E$30)*DCF!$B$35/($B32-E$30)/(1+$B32)^DCF!$B$38-DCF!$B$13)/DCF!$B$15+$B$8*$B$6)</f>
        <v>267.98683545278811</v>
      </c>
      <c r="F32" s="104">
        <f>IF($B32&lt;=F$30,"n/a",$B$7*(SUMPRODUCT(DCF!$D$23:$H$23/(1+$B32)^DCF!$D$25:$H$25)+DCF!$H$20*(1+F$30)*DCF!$B$35/($B32-F$30)/(1+$B32)^DCF!$B$38-DCF!$B$13)/DCF!$B$15+$B$8*$B$6)</f>
        <v>289.43702501899975</v>
      </c>
      <c r="G32" s="104">
        <f>IF($B32&lt;=G$30,"n/a",$B$7*(SUMPRODUCT(DCF!$D$23:$H$23/(1+$B32)^DCF!$D$25:$H$25)+DCF!$H$20*(1+G$30)*DCF!$B$35/($B32-G$30)/(1+$B32)^DCF!$B$38-DCF!$B$13)/DCF!$B$15+$B$8*$B$6)</f>
        <v>316.91697520293951</v>
      </c>
    </row>
    <row r="33" spans="1:8" ht="15" customHeight="1" x14ac:dyDescent="0.35">
      <c r="B33" s="103">
        <f>DCF!$B$7+(0)*$B$43</f>
        <v>7.5573865906294946E-2</v>
      </c>
      <c r="C33" s="104">
        <f>IF($B33&lt;=C$30,"n/a",$B$7*(SUMPRODUCT(DCF!$D$23:$H$23/(1+$B33)^DCF!$D$25:$H$25)+DCF!$H$20*(1+C$30)*DCF!$B$35/($B33-C$30)/(1+$B33)^DCF!$B$38-DCF!$B$13)/DCF!$B$15+$B$8*$B$6)</f>
        <v>223.01502548574058</v>
      </c>
      <c r="D33" s="104">
        <f>IF($B33&lt;=D$30,"n/a",$B$7*(SUMPRODUCT(DCF!$D$23:$H$23/(1+$B33)^DCF!$D$25:$H$25)+DCF!$H$20*(1+D$30)*DCF!$B$35/($B33-D$30)/(1+$B33)^DCF!$B$38-DCF!$B$13)/DCF!$B$15+$B$8*$B$6)</f>
        <v>234.64636188122998</v>
      </c>
      <c r="E33" s="105">
        <f>IF($B33&lt;=E$30,"n/a",$B$7*(SUMPRODUCT(DCF!$D$23:$H$23/(1+$B33)^DCF!$D$25:$H$25)+DCF!$H$20*(1+E$30)*DCF!$B$35/($B33-E$30)/(1+$B33)^DCF!$B$38-DCF!$B$13)/DCF!$B$15+$B$8*$B$6)</f>
        <v>248.5775692055189</v>
      </c>
      <c r="F33" s="104">
        <f>IF($B33&lt;=F$30,"n/a",$B$7*(SUMPRODUCT(DCF!$D$23:$H$23/(1+$B33)^DCF!$D$25:$H$25)+DCF!$H$20*(1+F$30)*DCF!$B$35/($B33-F$30)/(1+$B33)^DCF!$B$38-DCF!$B$13)/DCF!$B$15+$B$8*$B$6)</f>
        <v>265.56561778021506</v>
      </c>
      <c r="G33" s="104">
        <f>IF($B33&lt;=G$30,"n/a",$B$7*(SUMPRODUCT(DCF!$D$23:$H$23/(1+$B33)^DCF!$D$25:$H$25)+DCF!$H$20*(1+G$30)*DCF!$B$35/($B33-G$30)/(1+$B33)^DCF!$B$38-DCF!$B$13)/DCF!$B$15+$B$8*$B$6)</f>
        <v>286.74060989485633</v>
      </c>
    </row>
    <row r="34" spans="1:8" ht="15" customHeight="1" x14ac:dyDescent="0.35">
      <c r="B34" s="103">
        <f>DCF!$B$7+(1)*$B$43</f>
        <v>8.057386590629495E-2</v>
      </c>
      <c r="C34" s="104">
        <f>IF($B34&lt;=C$30,"n/a",$B$7*(SUMPRODUCT(DCF!$D$23:$H$23/(1+$B34)^DCF!$D$25:$H$25)+DCF!$H$20*(1+C$30)*DCF!$B$35/($B34-C$30)/(1+$B34)^DCF!$B$38-DCF!$B$13)/DCF!$B$15+$B$8*$B$6)</f>
        <v>211.44707719853682</v>
      </c>
      <c r="D34" s="104">
        <f>IF($B34&lt;=D$30,"n/a",$B$7*(SUMPRODUCT(DCF!$D$23:$H$23/(1+$B34)^DCF!$D$25:$H$25)+DCF!$H$20*(1+D$30)*DCF!$B$35/($B34-D$30)/(1+$B34)^DCF!$B$38-DCF!$B$13)/DCF!$B$15+$B$8*$B$6)</f>
        <v>221.17875156453402</v>
      </c>
      <c r="E34" s="104">
        <f>IF($B34&lt;=E$30,"n/a",$B$7*(SUMPRODUCT(DCF!$D$23:$H$23/(1+$B34)^DCF!$D$25:$H$25)+DCF!$H$20*(1+E$30)*DCF!$B$35/($B34-E$30)/(1+$B34)^DCF!$B$38-DCF!$B$13)/DCF!$B$15+$B$8*$B$6)</f>
        <v>232.66155016982853</v>
      </c>
      <c r="F34" s="104">
        <f>IF($B34&lt;=F$30,"n/a",$B$7*(SUMPRODUCT(DCF!$D$23:$H$23/(1+$B34)^DCF!$D$25:$H$25)+DCF!$H$20*(1+F$30)*DCF!$B$35/($B34-F$30)/(1+$B34)^DCF!$B$38-DCF!$B$13)/DCF!$B$15+$B$8*$B$6)</f>
        <v>246.41484924004106</v>
      </c>
      <c r="G34" s="104">
        <f>IF($B34&lt;=G$30,"n/a",$B$7*(SUMPRODUCT(DCF!$D$23:$H$23/(1+$B34)^DCF!$D$25:$H$25)+DCF!$H$20*(1+G$30)*DCF!$B$35/($B34-G$30)/(1+$B34)^DCF!$B$38-DCF!$B$13)/DCF!$B$15+$B$8*$B$6)</f>
        <v>263.18595221973339</v>
      </c>
    </row>
    <row r="35" spans="1:8" ht="15" customHeight="1" x14ac:dyDescent="0.35">
      <c r="B35" s="103">
        <f>DCF!$B$7+(2)*$B$43</f>
        <v>8.5573865906294941E-2</v>
      </c>
      <c r="C35" s="104">
        <f>IF($B35&lt;=C$30,"n/a",$B$7*(SUMPRODUCT(DCF!$D$23:$H$23/(1+$B35)^DCF!$D$25:$H$25)+DCF!$H$20*(1+C$30)*DCF!$B$35/($B35-C$30)/(1+$B35)^DCF!$B$38-DCF!$B$13)/DCF!$B$15+$B$8*$B$6)</f>
        <v>201.51919886283349</v>
      </c>
      <c r="D35" s="104">
        <f>IF($B35&lt;=D$30,"n/a",$B$7*(SUMPRODUCT(DCF!$D$23:$H$23/(1+$B35)^DCF!$D$25:$H$25)+DCF!$H$20*(1+D$30)*DCF!$B$35/($B35-D$30)/(1+$B35)^DCF!$B$38-DCF!$B$13)/DCF!$B$15+$B$8*$B$6)</f>
        <v>209.76575942217198</v>
      </c>
      <c r="E35" s="104">
        <f>IF($B35&lt;=E$30,"n/a",$B$7*(SUMPRODUCT(DCF!$D$23:$H$23/(1+$B35)^DCF!$D$25:$H$25)+DCF!$H$20*(1+E$30)*DCF!$B$35/($B35-E$30)/(1+$B35)^DCF!$B$38-DCF!$B$13)/DCF!$B$15+$B$8*$B$6)</f>
        <v>219.37372566958322</v>
      </c>
      <c r="F35" s="104">
        <f>IF($B35&lt;=F$30,"n/a",$B$7*(SUMPRODUCT(DCF!$D$23:$H$23/(1+$B35)^DCF!$D$25:$H$25)+DCF!$H$20*(1+F$30)*DCF!$B$35/($B35-F$30)/(1+$B35)^DCF!$B$38-DCF!$B$13)/DCF!$B$15+$B$8*$B$6)</f>
        <v>230.71055603157873</v>
      </c>
      <c r="G35" s="104">
        <f>IF($B35&lt;=G$30,"n/a",$B$7*(SUMPRODUCT(DCF!$D$23:$H$23/(1+$B35)^DCF!$D$25:$H$25)+DCF!$H$20*(1+G$30)*DCF!$B$35/($B35-G$30)/(1+$B35)^DCF!$B$38-DCF!$B$13)/DCF!$B$15+$B$8*$B$6)</f>
        <v>244.289024472617</v>
      </c>
    </row>
    <row r="42" spans="1:8" ht="15" customHeight="1" x14ac:dyDescent="0.35">
      <c r="A42" s="13" t="s">
        <v>735</v>
      </c>
      <c r="B42" s="18"/>
      <c r="C42" s="18"/>
      <c r="D42" s="18"/>
      <c r="E42" s="18"/>
      <c r="F42" s="18"/>
      <c r="G42" s="18"/>
      <c r="H42" s="18"/>
    </row>
    <row r="43" spans="1:8" ht="21.75" customHeight="1" x14ac:dyDescent="0.35">
      <c r="A43" s="1" t="s">
        <v>736</v>
      </c>
      <c r="B43" s="93">
        <v>5.0000000000000001E-3</v>
      </c>
      <c r="C43" s="19" t="s">
        <v>66</v>
      </c>
      <c r="H43" s="33" t="s">
        <v>737</v>
      </c>
    </row>
    <row r="44" spans="1:8" ht="15" customHeight="1" x14ac:dyDescent="0.35">
      <c r="A44" s="1" t="s">
        <v>738</v>
      </c>
      <c r="B44" s="93">
        <v>5.0000000000000001E-3</v>
      </c>
      <c r="C44" s="19" t="s">
        <v>66</v>
      </c>
      <c r="H44" s="33" t="s">
        <v>739</v>
      </c>
    </row>
    <row r="45" spans="1:8" ht="15" customHeight="1" x14ac:dyDescent="0.35">
      <c r="A45" s="1" t="s">
        <v>740</v>
      </c>
      <c r="B45" s="54">
        <f>E25-B5</f>
        <v>0</v>
      </c>
      <c r="C45" s="19" t="s">
        <v>270</v>
      </c>
    </row>
    <row r="46" spans="1:8" ht="15" customHeight="1" x14ac:dyDescent="0.35">
      <c r="A46" s="1" t="s">
        <v>741</v>
      </c>
      <c r="B46" s="54">
        <f>E33-B9</f>
        <v>0</v>
      </c>
      <c r="C46" s="19" t="s">
        <v>270</v>
      </c>
    </row>
    <row r="48" spans="1:8" ht="37.5" customHeight="1" x14ac:dyDescent="0.35">
      <c r="A48" s="43" t="s">
        <v>742</v>
      </c>
      <c r="B48" s="71">
        <v>0.1</v>
      </c>
      <c r="C48" s="19" t="s">
        <v>66</v>
      </c>
      <c r="H48" s="33" t="s">
        <v>743</v>
      </c>
    </row>
    <row r="49" spans="1:8" ht="15" customHeight="1" x14ac:dyDescent="0.35">
      <c r="A49" s="1"/>
      <c r="B49" s="36"/>
      <c r="C49" s="19"/>
    </row>
    <row r="50" spans="1:8" ht="15" customHeight="1" x14ac:dyDescent="0.35">
      <c r="A50" s="43" t="s">
        <v>744</v>
      </c>
      <c r="B50" s="71">
        <v>-0.1</v>
      </c>
      <c r="C50" s="19" t="s">
        <v>66</v>
      </c>
    </row>
    <row r="52" spans="1:8" ht="15" customHeight="1" x14ac:dyDescent="0.35">
      <c r="A52" s="13" t="s">
        <v>745</v>
      </c>
      <c r="B52" s="14"/>
      <c r="C52" s="14"/>
      <c r="D52" s="14"/>
      <c r="E52" s="14"/>
      <c r="F52" s="14"/>
      <c r="G52" s="14"/>
      <c r="H52" s="14"/>
    </row>
    <row r="53" spans="1:8" ht="30" customHeight="1" x14ac:dyDescent="0.35">
      <c r="A53" s="16" t="s">
        <v>571</v>
      </c>
      <c r="B53" s="17" t="s">
        <v>573</v>
      </c>
      <c r="C53" s="17" t="s">
        <v>746</v>
      </c>
      <c r="D53" s="17" t="s">
        <v>747</v>
      </c>
      <c r="E53" s="17" t="s">
        <v>748</v>
      </c>
      <c r="F53" s="17" t="s">
        <v>749</v>
      </c>
      <c r="G53" s="17" t="s">
        <v>750</v>
      </c>
      <c r="H53" s="17" t="s">
        <v>180</v>
      </c>
    </row>
    <row r="54" spans="1:8" ht="15" customHeight="1" x14ac:dyDescent="0.35">
      <c r="A54" s="2" t="s">
        <v>751</v>
      </c>
      <c r="B54" s="90">
        <f>WACC!C55</f>
        <v>7.5573865906294946E-2</v>
      </c>
      <c r="C54" s="39">
        <f>IF($B54&lt;=DCF!$B$8,"n/a",(SUMPRODUCT(DCF!$D$23:$H$23/(1+$B54)^DCF!$D$25:$H$25)+DCF!$H$20*(1+DCF!$B$8)*DCF!$B$35/($B54-DCF!$B$8)/(1+$B54)^DCF!$B$38-DCF!$B$13)/DCF!$B$15)</f>
        <v>248.87211846208905</v>
      </c>
      <c r="D54" s="79">
        <f>C54*$B$7+$B$6*$B$8</f>
        <v>248.5775692055189</v>
      </c>
      <c r="E54" s="21">
        <f>D54/$B$10-1</f>
        <v>4.8761999854522342E-2</v>
      </c>
      <c r="F54" s="21">
        <f>E54+$B$12</f>
        <v>8.1333090901691357E-2</v>
      </c>
      <c r="G54" s="1" t="str">
        <f>IF(F54&gt;=$B$48,"Buy",IF(F54&lt;=$B$50,"Sell","Hold"))</f>
        <v>Hold</v>
      </c>
      <c r="H54" s="33" t="s">
        <v>752</v>
      </c>
    </row>
    <row r="55" spans="1:8" ht="15" customHeight="1" x14ac:dyDescent="0.35">
      <c r="A55" s="1" t="s">
        <v>753</v>
      </c>
      <c r="B55" s="90">
        <f>WACC!C54</f>
        <v>7.2239590292727682E-2</v>
      </c>
      <c r="C55" s="39">
        <f>IF($B55&lt;=DCF!$B$8,"n/a",(SUMPRODUCT(DCF!$D$23:$H$23/(1+$B55)^DCF!$D$25:$H$25)+DCF!$H$20*(1+DCF!$B$8)*DCF!$B$35/($B55-DCF!$B$8)/(1+$B55)^DCF!$B$38-DCF!$B$13)/DCF!$B$15)</f>
        <v>269.68325251904236</v>
      </c>
      <c r="D55" s="39">
        <f>C55*$B$7+$B$6*$B$8</f>
        <v>261.06424963969084</v>
      </c>
      <c r="E55" s="21">
        <f>D55/$B$10-1</f>
        <v>0.10144396945275003</v>
      </c>
      <c r="F55" s="21">
        <f>E55+$B$12</f>
        <v>0.13401506049991904</v>
      </c>
      <c r="G55" s="1" t="str">
        <f>IF(F55&gt;=$B$48,"Buy",IF(F55&lt;=$B$50,"Sell","Hold"))</f>
        <v>Buy</v>
      </c>
      <c r="H55" s="33" t="s">
        <v>754</v>
      </c>
    </row>
    <row r="56" spans="1:8" ht="15" customHeight="1" x14ac:dyDescent="0.35">
      <c r="A56" s="1" t="s">
        <v>755</v>
      </c>
      <c r="B56" s="90">
        <f>WACC!C56</f>
        <v>7.7539442079193055E-2</v>
      </c>
      <c r="C56" s="39">
        <f>IF($B56&lt;=DCF!$B$8,"n/a",(SUMPRODUCT(DCF!$D$23:$H$23/(1+$B56)^DCF!$D$25:$H$25)+DCF!$H$20*(1+DCF!$B$8)*DCF!$B$35/($B56-DCF!$B$8)/(1+$B56)^DCF!$B$38-DCF!$B$13)/DCF!$B$15)</f>
        <v>237.84164351681218</v>
      </c>
      <c r="D56" s="39">
        <f>C56*$B$7+$B$6*$B$8</f>
        <v>241.95928423835278</v>
      </c>
      <c r="E56" s="21">
        <f>D56/$B$10-1</f>
        <v>2.0839103191092612E-2</v>
      </c>
      <c r="F56" s="21">
        <f>E56+$B$12</f>
        <v>5.3410194238261627E-2</v>
      </c>
      <c r="G56" s="1" t="str">
        <f>IF(F56&gt;=$B$48,"Buy",IF(F56&lt;=$B$50,"Sell","Hold"))</f>
        <v>Hold</v>
      </c>
      <c r="H56" s="33" t="s">
        <v>756</v>
      </c>
    </row>
    <row r="57" spans="1:8" ht="15" customHeight="1" x14ac:dyDescent="0.35">
      <c r="A57" s="1" t="s">
        <v>757</v>
      </c>
      <c r="B57" s="90">
        <f>WACC!C57</f>
        <v>8.3436170597887382E-2</v>
      </c>
      <c r="C57" s="39">
        <f>IF($B57&lt;=DCF!$B$8,"n/a",(SUMPRODUCT(DCF!$D$23:$H$23/(1+$B57)^DCF!$D$25:$H$25)+DCF!$H$20*(1+DCF!$B$8)*DCF!$B$35/($B57-DCF!$B$8)/(1+$B57)^DCF!$B$38-DCF!$B$13)/DCF!$B$15)</f>
        <v>209.20356834106852</v>
      </c>
      <c r="D57" s="39">
        <f>C57*$B$7+$B$6*$B$8</f>
        <v>224.77643913290657</v>
      </c>
      <c r="E57" s="21">
        <f>D57/$B$10-1</f>
        <v>-5.1656235199955436E-2</v>
      </c>
      <c r="F57" s="21">
        <f>E57+$B$12</f>
        <v>-1.9085144152786421E-2</v>
      </c>
      <c r="G57" s="1" t="str">
        <f>IF(F57&gt;=$B$48,"Buy",IF(F57&lt;=$B$50,"Sell","Hold"))</f>
        <v>Hold</v>
      </c>
      <c r="H57" s="33" t="s">
        <v>758</v>
      </c>
    </row>
    <row r="58" spans="1:8" ht="25.5" customHeight="1" x14ac:dyDescent="0.35">
      <c r="A58" s="1" t="s">
        <v>759</v>
      </c>
      <c r="B58" s="90">
        <f>WACC!C64</f>
        <v>8.1022968853463731E-2</v>
      </c>
      <c r="C58" s="39">
        <f>IF($B58&lt;=DCF!$B$8,"n/a",(SUMPRODUCT(DCF!$D$23:$H$23/(1+$B58)^DCF!$D$25:$H$25)+DCF!$H$20*(1+DCF!$B$8)*DCF!$B$35/($B58-DCF!$B$8)/(1+$B58)^DCF!$B$38-DCF!$B$13)/DCF!$B$15)</f>
        <v>220.19458365869485</v>
      </c>
      <c r="D58" s="39">
        <f>C58*$B$7+$B$6*$B$8</f>
        <v>231.37104832348237</v>
      </c>
      <c r="E58" s="21">
        <f>D58/$B$10-1</f>
        <v>-2.3833227898564013E-2</v>
      </c>
      <c r="F58" s="21">
        <f>E58+$B$12</f>
        <v>8.7378631486050018E-3</v>
      </c>
      <c r="G58" s="1" t="str">
        <f>IF(F58&gt;=$B$48,"Buy",IF(F58&lt;=$B$50,"Sell","Hold"))</f>
        <v>Hold</v>
      </c>
      <c r="H58" s="33" t="s">
        <v>760</v>
      </c>
    </row>
    <row r="59" spans="1:8" ht="15" customHeight="1" x14ac:dyDescent="0.35">
      <c r="A59" s="1" t="s">
        <v>761</v>
      </c>
      <c r="B59" s="54">
        <f>D54-B9</f>
        <v>0</v>
      </c>
      <c r="C59" s="1"/>
      <c r="D59" s="1"/>
      <c r="E59" s="1"/>
      <c r="F59" s="1"/>
      <c r="G59" s="1"/>
      <c r="H59" s="1"/>
    </row>
    <row r="61" spans="1:8" ht="15" customHeight="1" x14ac:dyDescent="0.35">
      <c r="A61" s="13" t="s">
        <v>762</v>
      </c>
      <c r="B61" s="18"/>
      <c r="C61" s="18"/>
      <c r="D61" s="18"/>
      <c r="E61" s="18"/>
      <c r="F61" s="18"/>
      <c r="G61" s="18"/>
      <c r="H61" s="18"/>
    </row>
    <row r="62" spans="1:8" ht="15" customHeight="1" x14ac:dyDescent="0.35">
      <c r="A62" s="1" t="s">
        <v>763</v>
      </c>
      <c r="B62" s="39">
        <f>Peers!C24/Peers!H24</f>
        <v>13.316139767054908</v>
      </c>
      <c r="H62" s="33" t="s">
        <v>764</v>
      </c>
    </row>
    <row r="63" spans="1:8" ht="15" customHeight="1" x14ac:dyDescent="0.35">
      <c r="A63" s="1" t="s">
        <v>765</v>
      </c>
      <c r="B63" s="40">
        <f>Comps!C23</f>
        <v>13.347176095406212</v>
      </c>
      <c r="H63" s="33" t="s">
        <v>766</v>
      </c>
    </row>
    <row r="64" spans="1:8" ht="25.5" customHeight="1" x14ac:dyDescent="0.35">
      <c r="A64" s="1" t="s">
        <v>767</v>
      </c>
      <c r="B64" s="21">
        <f>B63/B62-1</f>
        <v>2.3307301435877559E-3</v>
      </c>
      <c r="H64" s="33" t="s">
        <v>768</v>
      </c>
    </row>
    <row r="65" spans="1:8" ht="25.5" customHeight="1" x14ac:dyDescent="0.35">
      <c r="A65" s="1" t="s">
        <v>769</v>
      </c>
      <c r="B65" s="26">
        <v>311.55</v>
      </c>
      <c r="H65" s="33" t="s">
        <v>770</v>
      </c>
    </row>
    <row r="66" spans="1:8" ht="15" customHeight="1" x14ac:dyDescent="0.35">
      <c r="A66" s="1" t="s">
        <v>771</v>
      </c>
      <c r="B66" s="21">
        <f>B9/B65-1</f>
        <v>-0.20212624231898924</v>
      </c>
    </row>
    <row r="68" spans="1:8" ht="15" customHeight="1" x14ac:dyDescent="0.35">
      <c r="A68" s="13" t="s">
        <v>772</v>
      </c>
      <c r="B68" s="18"/>
      <c r="C68" s="18"/>
      <c r="D68" s="18"/>
      <c r="E68" s="18"/>
      <c r="F68" s="18"/>
      <c r="G68" s="18"/>
      <c r="H68" s="18"/>
    </row>
    <row r="69" spans="1:8" ht="15" customHeight="1" x14ac:dyDescent="0.35">
      <c r="A69" s="16" t="s">
        <v>266</v>
      </c>
      <c r="B69" s="17" t="s">
        <v>773</v>
      </c>
      <c r="C69" s="17" t="s">
        <v>722</v>
      </c>
      <c r="D69" s="17" t="s">
        <v>774</v>
      </c>
      <c r="H69" s="17" t="s">
        <v>180</v>
      </c>
    </row>
    <row r="70" spans="1:8" ht="15" customHeight="1" x14ac:dyDescent="0.35">
      <c r="A70" s="1" t="s">
        <v>775</v>
      </c>
      <c r="B70" s="106">
        <v>189</v>
      </c>
      <c r="C70" s="106">
        <v>223.34</v>
      </c>
      <c r="D70" s="106">
        <v>241</v>
      </c>
      <c r="H70" s="33" t="s">
        <v>776</v>
      </c>
    </row>
    <row r="71" spans="1:8" ht="15" customHeight="1" x14ac:dyDescent="0.35">
      <c r="A71" s="1" t="s">
        <v>777</v>
      </c>
      <c r="B71" s="92">
        <f>(B70*DCF!$B$15+DCF!$B$13)/($C$70*DCF!$B$15+DCF!$B$13)</f>
        <v>0.87564850614921952</v>
      </c>
      <c r="C71" s="92">
        <f>(C70*DCF!$B$15+DCF!$B$13)/($C$70*DCF!$B$15+DCF!$B$13)</f>
        <v>1</v>
      </c>
      <c r="D71" s="92">
        <f>(D70*DCF!$B$15+DCF!$B$13)/($C$70*DCF!$B$15+DCF!$B$13)</f>
        <v>1.0639501275889569</v>
      </c>
      <c r="H71" s="33" t="s">
        <v>778</v>
      </c>
    </row>
    <row r="72" spans="1:8" ht="15" customHeight="1" x14ac:dyDescent="0.35">
      <c r="A72" s="1" t="s">
        <v>779</v>
      </c>
      <c r="B72" s="39">
        <f>(B71*DCF!$B$45-DCF!$B$13)/DCF!$B$15</f>
        <v>211.35716139015315</v>
      </c>
      <c r="C72" s="39">
        <f>(C71*DCF!$B$45-DCF!$B$13)/DCF!$B$15</f>
        <v>248.87211846208905</v>
      </c>
      <c r="D72" s="39">
        <f>(D71*DCF!$B$45-DCF!$B$13)/DCF!$B$15</f>
        <v>268.16490069535598</v>
      </c>
      <c r="H72" s="33" t="s">
        <v>780</v>
      </c>
    </row>
    <row r="73" spans="1:8" ht="15" customHeight="1" x14ac:dyDescent="0.35">
      <c r="A73" s="1" t="s">
        <v>781</v>
      </c>
      <c r="B73" s="106">
        <v>227</v>
      </c>
      <c r="C73" s="106">
        <v>251.08</v>
      </c>
      <c r="D73" s="106">
        <v>263</v>
      </c>
      <c r="H73" s="33" t="s">
        <v>782</v>
      </c>
    </row>
    <row r="74" spans="1:8" ht="25.5" customHeight="1" x14ac:dyDescent="0.35">
      <c r="A74" s="1" t="s">
        <v>783</v>
      </c>
      <c r="B74" s="92">
        <f>((B73-0.6*B70)/0.4)/(($C$73-0.6*$C$70)/0.4)</f>
        <v>0.97030988417779884</v>
      </c>
      <c r="C74" s="92">
        <f>((C73-0.6*C70)/0.4)/(($C$73-0.6*$C$70)/0.4)</f>
        <v>1</v>
      </c>
      <c r="D74" s="92">
        <f>((D73-0.6*D70)/0.4)/(($C$73-0.6*$C$70)/0.4)</f>
        <v>1.01130889336841</v>
      </c>
      <c r="H74" s="33" t="s">
        <v>784</v>
      </c>
    </row>
    <row r="75" spans="1:8" ht="15" customHeight="1" x14ac:dyDescent="0.35">
      <c r="A75" s="1" t="s">
        <v>785</v>
      </c>
      <c r="B75" s="39">
        <f>B74*Comps!$D$31</f>
        <v>240.76856630246493</v>
      </c>
      <c r="C75" s="39">
        <f>C74*Comps!$D$31</f>
        <v>248.13574532066366</v>
      </c>
      <c r="D75" s="39">
        <f>D74*Comps!$D$31</f>
        <v>250.94188600538598</v>
      </c>
    </row>
    <row r="76" spans="1:8" ht="15" customHeight="1" x14ac:dyDescent="0.35">
      <c r="A76" s="1" t="s">
        <v>786</v>
      </c>
      <c r="B76" s="39">
        <f>B72*$B$7+B75*$B$8</f>
        <v>223.12172335507788</v>
      </c>
      <c r="C76" s="39">
        <f>C72*$B$7+C75*$B$8</f>
        <v>248.5775692055189</v>
      </c>
      <c r="D76" s="39">
        <f>D72*$B$7+D75*$B$8</f>
        <v>261.27569481936803</v>
      </c>
    </row>
    <row r="77" spans="1:8" ht="15" customHeight="1" x14ac:dyDescent="0.35">
      <c r="A77" s="1" t="s">
        <v>787</v>
      </c>
      <c r="B77" s="21">
        <f>B76/$B$10-1</f>
        <v>-5.8637569171049453E-2</v>
      </c>
      <c r="C77" s="21">
        <f>C76/$B$10-1</f>
        <v>4.8761999854522342E-2</v>
      </c>
      <c r="D77" s="21">
        <f>D76/$B$10-1</f>
        <v>0.10233606792409078</v>
      </c>
    </row>
    <row r="78" spans="1:8" ht="15" customHeight="1" x14ac:dyDescent="0.35">
      <c r="A78" s="1" t="s">
        <v>788</v>
      </c>
      <c r="B78" s="71">
        <v>0.25</v>
      </c>
      <c r="C78" s="71">
        <v>0.5</v>
      </c>
      <c r="D78" s="71">
        <v>0.25</v>
      </c>
    </row>
    <row r="79" spans="1:8" ht="15" customHeight="1" x14ac:dyDescent="0.35">
      <c r="A79" s="1" t="s">
        <v>789</v>
      </c>
      <c r="B79" s="79">
        <f>SUMPRODUCT(B76:D76,B78:D78)</f>
        <v>245.38813914637092</v>
      </c>
    </row>
    <row r="81" spans="1:8" ht="15" customHeight="1" x14ac:dyDescent="0.35">
      <c r="A81" s="1" t="s">
        <v>790</v>
      </c>
      <c r="B81" s="35">
        <f>((($B$10*DCF!$B$15+DCF!$B$13-DCF!$B$43)*(1+DCF!$B$7)^DCF!$B$38/(DCF!$H$20*DCF!$B$35))*DCF!$B$7-1)/(1+(($B$10*DCF!$B$15+DCF!$B$13-DCF!$B$43)*(1+DCF!$B$7)^DCF!$B$38/(DCF!$H$20*DCF!$B$35)))</f>
        <v>2.2565543997750345E-2</v>
      </c>
      <c r="H81" s="33" t="s">
        <v>791</v>
      </c>
    </row>
    <row r="82" spans="1:8" ht="21.75" customHeight="1" x14ac:dyDescent="0.35">
      <c r="A82" s="1" t="s">
        <v>792</v>
      </c>
      <c r="B82" s="48">
        <v>7.7691999999999997E-2</v>
      </c>
      <c r="H82" s="33" t="s">
        <v>793</v>
      </c>
    </row>
    <row r="83" spans="1:8" ht="15" customHeight="1" x14ac:dyDescent="0.35">
      <c r="A83" s="1" t="s">
        <v>794</v>
      </c>
      <c r="B83" s="107">
        <v>-7.0699999999999999E-3</v>
      </c>
      <c r="H83" s="33" t="s">
        <v>795</v>
      </c>
    </row>
    <row r="84" spans="1:8" ht="15" customHeight="1" x14ac:dyDescent="0.35">
      <c r="A84" s="1" t="s">
        <v>796</v>
      </c>
      <c r="B84" s="26">
        <v>242.90516400000001</v>
      </c>
      <c r="H84" s="33" t="s">
        <v>797</v>
      </c>
    </row>
    <row r="85" spans="1:8" ht="15" customHeight="1" x14ac:dyDescent="0.35">
      <c r="A85" s="1" t="s">
        <v>798</v>
      </c>
      <c r="B85" s="39">
        <f>B84*$B$7+$B$6*$B$8</f>
        <v>244.99739652826548</v>
      </c>
    </row>
    <row r="86" spans="1:8" ht="15" customHeight="1" x14ac:dyDescent="0.35">
      <c r="A86" s="1" t="s">
        <v>799</v>
      </c>
      <c r="B86" s="39">
        <f>E32</f>
        <v>267.98683545278811</v>
      </c>
      <c r="C86" s="39">
        <f>E34</f>
        <v>232.66155016982853</v>
      </c>
    </row>
    <row r="87" spans="1:8" ht="15" customHeight="1" x14ac:dyDescent="0.35">
      <c r="A87" s="1" t="s">
        <v>800</v>
      </c>
      <c r="B87" s="39">
        <f>E24</f>
        <v>281.22089554087108</v>
      </c>
      <c r="C87" s="39">
        <f>E26</f>
        <v>222.34542006927177</v>
      </c>
    </row>
    <row r="89" spans="1:8" ht="15" customHeight="1" x14ac:dyDescent="0.35">
      <c r="A89" s="13" t="s">
        <v>801</v>
      </c>
      <c r="B89" s="18"/>
      <c r="C89" s="18"/>
      <c r="D89" s="14" t="s">
        <v>749</v>
      </c>
      <c r="E89" s="18"/>
      <c r="F89" s="18"/>
      <c r="G89" s="18"/>
      <c r="H89" s="18"/>
    </row>
    <row r="90" spans="1:8" ht="15" customHeight="1" x14ac:dyDescent="0.35">
      <c r="A90" s="1" t="s">
        <v>802</v>
      </c>
      <c r="B90" s="39">
        <f>$B$5*$B$7+Comps!D29*$B$8</f>
        <v>238.55302859591126</v>
      </c>
      <c r="C90" s="21">
        <f>B90/$B$10-1+$B$12</f>
        <v>3.9039020318585943E-2</v>
      </c>
      <c r="H90" s="33" t="s">
        <v>803</v>
      </c>
    </row>
    <row r="91" spans="1:8" ht="15" customHeight="1" x14ac:dyDescent="0.35">
      <c r="A91" s="1" t="s">
        <v>804</v>
      </c>
      <c r="B91" s="39">
        <f>$B$5*$B$7+Comps!D30*$B$8</f>
        <v>258.60210981512654</v>
      </c>
      <c r="C91" s="21">
        <f>B91/$B$10-1+$B$12</f>
        <v>0.12362716148479677</v>
      </c>
      <c r="H91" s="33" t="s">
        <v>805</v>
      </c>
    </row>
    <row r="92" spans="1:8" ht="15" customHeight="1" x14ac:dyDescent="0.35">
      <c r="A92" s="1" t="s">
        <v>806</v>
      </c>
      <c r="B92" s="39">
        <f>B9</f>
        <v>248.5775692055189</v>
      </c>
      <c r="C92" s="21">
        <f>B92/$B$10-1+$B$12</f>
        <v>8.1333090901691357E-2</v>
      </c>
      <c r="H92" s="33" t="s">
        <v>807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2"/>
  <sheetViews>
    <sheetView showGridLines="0" zoomScaleNormal="100" workbookViewId="0">
      <pane ySplit="4" topLeftCell="A58" activePane="bottomLeft" state="frozen"/>
      <selection pane="bottomLeft"/>
    </sheetView>
  </sheetViews>
  <sheetFormatPr defaultColWidth="8.6328125" defaultRowHeight="14.5" x14ac:dyDescent="0.35"/>
  <cols>
    <col min="1" max="1" width="50" customWidth="1"/>
    <col min="2" max="2" width="12" customWidth="1"/>
    <col min="3" max="3" width="6" customWidth="1"/>
    <col min="4" max="8" width="11" customWidth="1"/>
    <col min="9" max="9" width="13" customWidth="1"/>
    <col min="10" max="10" width="80" customWidth="1"/>
  </cols>
  <sheetData>
    <row r="1" spans="1:10" ht="17.25" customHeight="1" x14ac:dyDescent="0.4">
      <c r="A1" s="5" t="s">
        <v>611</v>
      </c>
    </row>
    <row r="2" spans="1:10" ht="15" customHeight="1" x14ac:dyDescent="0.35">
      <c r="A2" s="19" t="s">
        <v>612</v>
      </c>
    </row>
    <row r="4" spans="1:10" ht="15" customHeight="1" x14ac:dyDescent="0.35">
      <c r="A4" s="13" t="s">
        <v>613</v>
      </c>
      <c r="B4" s="18"/>
      <c r="C4" s="18"/>
      <c r="D4" s="18"/>
      <c r="E4" s="18"/>
      <c r="F4" s="18"/>
      <c r="G4" s="18"/>
      <c r="H4" s="18"/>
      <c r="I4" s="18"/>
      <c r="J4" s="18"/>
    </row>
    <row r="5" spans="1:10" ht="15" customHeight="1" x14ac:dyDescent="0.35">
      <c r="A5" s="1" t="s">
        <v>614</v>
      </c>
      <c r="B5" s="98">
        <f>Market_WACC!B7</f>
        <v>46289</v>
      </c>
      <c r="J5" s="33" t="s">
        <v>272</v>
      </c>
    </row>
    <row r="6" spans="1:10" ht="21.75" customHeight="1" x14ac:dyDescent="0.35">
      <c r="A6" s="72" t="s">
        <v>615</v>
      </c>
      <c r="B6" s="99">
        <f>DATE(2026,6,30)</f>
        <v>46203</v>
      </c>
      <c r="J6" s="33" t="s">
        <v>616</v>
      </c>
    </row>
    <row r="7" spans="1:10" ht="15" customHeight="1" x14ac:dyDescent="0.35">
      <c r="A7" s="1" t="s">
        <v>573</v>
      </c>
      <c r="B7" s="90">
        <f>WACC!B39</f>
        <v>7.5573865906294946E-2</v>
      </c>
      <c r="C7" s="19" t="s">
        <v>66</v>
      </c>
      <c r="J7" s="33" t="s">
        <v>617</v>
      </c>
    </row>
    <row r="8" spans="1:10" ht="21.75" customHeight="1" x14ac:dyDescent="0.35">
      <c r="A8" s="72" t="s">
        <v>618</v>
      </c>
      <c r="B8" s="93">
        <v>2.5000000000000001E-2</v>
      </c>
      <c r="C8" s="19" t="s">
        <v>66</v>
      </c>
      <c r="J8" s="33" t="s">
        <v>619</v>
      </c>
    </row>
    <row r="9" spans="1:10" ht="21.75" customHeight="1" x14ac:dyDescent="0.35">
      <c r="A9" s="72" t="s">
        <v>620</v>
      </c>
      <c r="B9" s="100">
        <v>1</v>
      </c>
      <c r="J9" s="33" t="s">
        <v>621</v>
      </c>
    </row>
    <row r="10" spans="1:10" ht="15" customHeight="1" x14ac:dyDescent="0.35">
      <c r="A10" s="1" t="s">
        <v>622</v>
      </c>
      <c r="B10" s="73">
        <v>822</v>
      </c>
      <c r="C10" s="19" t="s">
        <v>58</v>
      </c>
      <c r="J10" s="33" t="s">
        <v>623</v>
      </c>
    </row>
    <row r="11" spans="1:10" ht="15" customHeight="1" x14ac:dyDescent="0.35">
      <c r="A11" s="1" t="s">
        <v>624</v>
      </c>
      <c r="B11" s="73">
        <v>39863</v>
      </c>
      <c r="C11" s="19" t="s">
        <v>58</v>
      </c>
      <c r="J11" s="33" t="s">
        <v>623</v>
      </c>
    </row>
    <row r="12" spans="1:10" ht="15" customHeight="1" x14ac:dyDescent="0.35">
      <c r="A12" s="72" t="s">
        <v>625</v>
      </c>
      <c r="B12" s="73">
        <v>38300</v>
      </c>
      <c r="C12" s="19" t="s">
        <v>58</v>
      </c>
      <c r="J12" s="33" t="s">
        <v>626</v>
      </c>
    </row>
    <row r="13" spans="1:10" ht="15" customHeight="1" x14ac:dyDescent="0.35">
      <c r="A13" s="72" t="s">
        <v>627</v>
      </c>
      <c r="B13" s="28">
        <f>B12-B10</f>
        <v>37478</v>
      </c>
      <c r="C13" s="19" t="s">
        <v>58</v>
      </c>
      <c r="J13" s="33" t="s">
        <v>628</v>
      </c>
    </row>
    <row r="14" spans="1:10" ht="21.75" customHeight="1" x14ac:dyDescent="0.35">
      <c r="A14" s="1" t="s">
        <v>629</v>
      </c>
      <c r="B14" s="73">
        <f>690+14039</f>
        <v>14729</v>
      </c>
      <c r="C14" s="19" t="s">
        <v>58</v>
      </c>
      <c r="J14" s="33" t="s">
        <v>630</v>
      </c>
    </row>
    <row r="15" spans="1:10" ht="15" customHeight="1" x14ac:dyDescent="0.35">
      <c r="A15" s="1" t="s">
        <v>464</v>
      </c>
      <c r="B15" s="82">
        <f>WACC!B11</f>
        <v>709.64</v>
      </c>
      <c r="C15" s="19" t="s">
        <v>85</v>
      </c>
      <c r="J15" s="33" t="s">
        <v>631</v>
      </c>
    </row>
    <row r="16" spans="1:10" ht="15" customHeight="1" x14ac:dyDescent="0.35">
      <c r="A16" s="1" t="s">
        <v>632</v>
      </c>
      <c r="B16" s="40">
        <f>Market_WACC!B6</f>
        <v>237.02</v>
      </c>
      <c r="C16" s="19" t="s">
        <v>270</v>
      </c>
      <c r="J16" s="33" t="s">
        <v>509</v>
      </c>
    </row>
    <row r="18" spans="1:10" ht="23.25" customHeight="1" x14ac:dyDescent="0.35">
      <c r="A18" s="69" t="s">
        <v>633</v>
      </c>
      <c r="B18" s="70" t="s">
        <v>48</v>
      </c>
      <c r="C18" s="70"/>
      <c r="D18" s="70" t="s">
        <v>354</v>
      </c>
      <c r="E18" s="70" t="s">
        <v>355</v>
      </c>
      <c r="F18" s="70" t="s">
        <v>356</v>
      </c>
      <c r="G18" s="70" t="s">
        <v>357</v>
      </c>
      <c r="H18" s="70" t="s">
        <v>358</v>
      </c>
      <c r="I18" s="70" t="s">
        <v>634</v>
      </c>
      <c r="J18" s="69" t="s">
        <v>180</v>
      </c>
    </row>
    <row r="19" spans="1:10" ht="15" customHeight="1" x14ac:dyDescent="0.35">
      <c r="A19" s="1" t="s">
        <v>635</v>
      </c>
      <c r="D19" s="99">
        <f>DATE(2026,12,31)</f>
        <v>46387</v>
      </c>
      <c r="E19" s="99">
        <f>DATE(2027,12,31)</f>
        <v>46752</v>
      </c>
      <c r="F19" s="99">
        <f>DATE(2028,12,31)</f>
        <v>47118</v>
      </c>
      <c r="G19" s="99">
        <f>DATE(2029,12,31)</f>
        <v>47483</v>
      </c>
      <c r="H19" s="99">
        <f>DATE(2030,12,31)</f>
        <v>47848</v>
      </c>
    </row>
    <row r="20" spans="1:10" ht="15" customHeight="1" x14ac:dyDescent="0.35">
      <c r="A20" s="1" t="s">
        <v>636</v>
      </c>
      <c r="C20" s="19" t="s">
        <v>58</v>
      </c>
      <c r="D20" s="38">
        <f>Forecast!D21</f>
        <v>28363.674999999999</v>
      </c>
      <c r="E20" s="38">
        <f>Forecast!E21</f>
        <v>28221.856625</v>
      </c>
      <c r="F20" s="38">
        <f>Forecast!F21</f>
        <v>28165.412911750002</v>
      </c>
      <c r="G20" s="38">
        <f>Forecast!G21</f>
        <v>29348.360254043502</v>
      </c>
      <c r="H20" s="38">
        <f>Forecast!H21</f>
        <v>30580.991384713332</v>
      </c>
      <c r="I20" s="28">
        <f>H20*(1+B8)</f>
        <v>31345.516169331164</v>
      </c>
    </row>
    <row r="21" spans="1:10" ht="15" customHeight="1" x14ac:dyDescent="0.35">
      <c r="A21" s="1" t="s">
        <v>637</v>
      </c>
      <c r="C21" s="19" t="s">
        <v>58</v>
      </c>
      <c r="D21" s="38">
        <f>Forecast!D43</f>
        <v>8445.3078549999991</v>
      </c>
      <c r="E21" s="38">
        <f>Forecast!E43</f>
        <v>9456.8762331625003</v>
      </c>
      <c r="F21" s="38">
        <f>Forecast!F43</f>
        <v>10004.617747942977</v>
      </c>
      <c r="G21" s="38">
        <f>Forecast!G43</f>
        <v>10798.628903338122</v>
      </c>
      <c r="H21" s="38">
        <f>Forecast!H43</f>
        <v>11516.337183678705</v>
      </c>
      <c r="I21" s="28">
        <f>I20*B35</f>
        <v>11617.393282243174</v>
      </c>
      <c r="J21" s="33" t="s">
        <v>638</v>
      </c>
    </row>
    <row r="22" spans="1:10" ht="21.75" customHeight="1" x14ac:dyDescent="0.35">
      <c r="A22" s="1" t="s">
        <v>639</v>
      </c>
      <c r="C22" s="19" t="s">
        <v>66</v>
      </c>
      <c r="D22" s="21">
        <f>MAX(0,MIN(1,(D19-$B$6)/365))</f>
        <v>0.50410958904109593</v>
      </c>
      <c r="E22" s="21">
        <f>MAX(0,MIN(1,(E19-$B$6)/365))</f>
        <v>1</v>
      </c>
      <c r="F22" s="21">
        <f>MAX(0,MIN(1,(F19-$B$6)/365))</f>
        <v>1</v>
      </c>
      <c r="G22" s="21">
        <f>MAX(0,MIN(1,(G19-$B$6)/365))</f>
        <v>1</v>
      </c>
      <c r="H22" s="21">
        <f>MAX(0,MIN(1,(H19-$B$6)/365))</f>
        <v>1</v>
      </c>
      <c r="J22" s="33" t="s">
        <v>640</v>
      </c>
    </row>
    <row r="23" spans="1:10" ht="15" customHeight="1" x14ac:dyDescent="0.35">
      <c r="A23" s="1" t="s">
        <v>641</v>
      </c>
      <c r="C23" s="19" t="s">
        <v>58</v>
      </c>
      <c r="D23" s="28">
        <f>D21*D22</f>
        <v>4257.3606721095894</v>
      </c>
      <c r="E23" s="28">
        <f>E21*E22</f>
        <v>9456.8762331625003</v>
      </c>
      <c r="F23" s="28">
        <f>F21*F22</f>
        <v>10004.617747942977</v>
      </c>
      <c r="G23" s="28">
        <f>G21*G22</f>
        <v>10798.628903338122</v>
      </c>
      <c r="H23" s="28">
        <f>H21*H22</f>
        <v>11516.337183678705</v>
      </c>
    </row>
    <row r="24" spans="1:10" ht="21.75" customHeight="1" x14ac:dyDescent="0.35">
      <c r="A24" s="1" t="s">
        <v>642</v>
      </c>
      <c r="D24" s="101">
        <f>IF($B$9=1,D19-(D19-MAX($B$6,D19-365))/2,D19)</f>
        <v>46295</v>
      </c>
      <c r="E24" s="101">
        <f>IF($B$9=1,E19-(E19-MAX($B$6,E19-365))/2,E19)</f>
        <v>46569.5</v>
      </c>
      <c r="F24" s="101">
        <f>IF($B$9=1,F19-(F19-MAX($B$6,F19-365))/2,F19)</f>
        <v>46935.5</v>
      </c>
      <c r="G24" s="101">
        <f>IF($B$9=1,G19-(G19-MAX($B$6,G19-365))/2,G19)</f>
        <v>47300.5</v>
      </c>
      <c r="H24" s="101">
        <f>IF($B$9=1,H19-(H19-MAX($B$6,H19-365))/2,H19)</f>
        <v>47665.5</v>
      </c>
      <c r="J24" s="33" t="s">
        <v>643</v>
      </c>
    </row>
    <row r="25" spans="1:10" ht="15" customHeight="1" x14ac:dyDescent="0.35">
      <c r="A25" s="1" t="s">
        <v>644</v>
      </c>
      <c r="C25" s="19" t="s">
        <v>645</v>
      </c>
      <c r="D25" s="54">
        <f>MAX(0,(D24-$B$5)/365)</f>
        <v>1.643835616438356E-2</v>
      </c>
      <c r="E25" s="54">
        <f>MAX(0,(E24-$B$5)/365)</f>
        <v>0.76849315068493151</v>
      </c>
      <c r="F25" s="54">
        <f>MAX(0,(F24-$B$5)/365)</f>
        <v>1.7712328767123289</v>
      </c>
      <c r="G25" s="54">
        <f>MAX(0,(G24-$B$5)/365)</f>
        <v>2.7712328767123289</v>
      </c>
      <c r="H25" s="54">
        <f>MAX(0,(H24-$B$5)/365)</f>
        <v>3.7712328767123289</v>
      </c>
    </row>
    <row r="26" spans="1:10" ht="15" customHeight="1" x14ac:dyDescent="0.35">
      <c r="A26" s="1" t="s">
        <v>646</v>
      </c>
      <c r="D26" s="92">
        <f>1/(1+$B$7)^D25</f>
        <v>0.99880311112473297</v>
      </c>
      <c r="E26" s="92">
        <f>1/(1+$B$7)^E25</f>
        <v>0.94555041874150625</v>
      </c>
      <c r="F26" s="92">
        <f>1/(1+$B$7)^F25</f>
        <v>0.87893703517468791</v>
      </c>
      <c r="G26" s="92">
        <f>1/(1+$B$7)^G25</f>
        <v>0.81717961270291939</v>
      </c>
      <c r="H26" s="92">
        <f>1/(1+$B$7)^H25</f>
        <v>0.75976149905274182</v>
      </c>
    </row>
    <row r="27" spans="1:10" ht="15" customHeight="1" x14ac:dyDescent="0.35">
      <c r="A27" s="2" t="s">
        <v>647</v>
      </c>
      <c r="C27" s="19" t="s">
        <v>58</v>
      </c>
      <c r="D27" s="30">
        <f>D23*D26</f>
        <v>4252.2650844831423</v>
      </c>
      <c r="E27" s="30">
        <f>E23*E26</f>
        <v>8941.9532822534002</v>
      </c>
      <c r="F27" s="30">
        <f>F23*F26</f>
        <v>8793.4290614330639</v>
      </c>
      <c r="G27" s="30">
        <f>G23*G26</f>
        <v>8824.4193849523981</v>
      </c>
      <c r="H27" s="30">
        <f>H23*H26</f>
        <v>8749.6696022685628</v>
      </c>
    </row>
    <row r="29" spans="1:10" ht="15" customHeight="1" x14ac:dyDescent="0.35">
      <c r="A29" s="13" t="s">
        <v>648</v>
      </c>
      <c r="B29" s="18"/>
      <c r="C29" s="18"/>
      <c r="D29" s="18"/>
      <c r="E29" s="18"/>
      <c r="F29" s="18"/>
      <c r="G29" s="18"/>
      <c r="H29" s="18"/>
      <c r="I29" s="18"/>
      <c r="J29" s="18"/>
    </row>
    <row r="30" spans="1:10" ht="15" customHeight="1" x14ac:dyDescent="0.35">
      <c r="A30" s="1" t="s">
        <v>649</v>
      </c>
      <c r="B30" s="21">
        <f>Forecast!H10</f>
        <v>0.53</v>
      </c>
      <c r="C30" s="19" t="s">
        <v>66</v>
      </c>
      <c r="J30" s="33" t="s">
        <v>650</v>
      </c>
    </row>
    <row r="31" spans="1:10" ht="15" customHeight="1" x14ac:dyDescent="0.35">
      <c r="A31" s="1" t="s">
        <v>377</v>
      </c>
      <c r="B31" s="21">
        <f>Forecast!H14</f>
        <v>0.22</v>
      </c>
      <c r="C31" s="19" t="s">
        <v>66</v>
      </c>
    </row>
    <row r="32" spans="1:10" ht="15" customHeight="1" x14ac:dyDescent="0.35">
      <c r="A32" s="1" t="s">
        <v>651</v>
      </c>
      <c r="B32" s="21">
        <f>Forecast!H11</f>
        <v>8.5999999999999993E-2</v>
      </c>
      <c r="C32" s="19" t="s">
        <v>66</v>
      </c>
    </row>
    <row r="33" spans="1:10" ht="21.75" customHeight="1" x14ac:dyDescent="0.35">
      <c r="A33" s="72" t="s">
        <v>652</v>
      </c>
      <c r="B33" s="21">
        <f>AVERAGE(Forecast!E45:H45)</f>
        <v>0.11877623296789826</v>
      </c>
      <c r="C33" s="19" t="s">
        <v>66</v>
      </c>
      <c r="J33" s="33" t="s">
        <v>653</v>
      </c>
    </row>
    <row r="34" spans="1:10" ht="15" customHeight="1" x14ac:dyDescent="0.35">
      <c r="A34" s="1" t="s">
        <v>654</v>
      </c>
      <c r="B34" s="21">
        <f>Forecast!H13</f>
        <v>-0.01</v>
      </c>
      <c r="C34" s="19" t="s">
        <v>66</v>
      </c>
    </row>
    <row r="35" spans="1:10" ht="15" customHeight="1" x14ac:dyDescent="0.35">
      <c r="A35" s="1" t="s">
        <v>655</v>
      </c>
      <c r="B35" s="21">
        <f>B30*(1-B31)+B32-B33+B34</f>
        <v>0.37062376703210181</v>
      </c>
      <c r="C35" s="19" t="s">
        <v>66</v>
      </c>
      <c r="J35" s="33" t="s">
        <v>656</v>
      </c>
    </row>
    <row r="36" spans="1:10" ht="15" customHeight="1" x14ac:dyDescent="0.35">
      <c r="A36" s="1" t="s">
        <v>657</v>
      </c>
      <c r="B36" s="21">
        <f>I21/H21-1</f>
        <v>8.7750208206553992E-3</v>
      </c>
      <c r="C36" s="19" t="s">
        <v>66</v>
      </c>
      <c r="J36" s="33" t="s">
        <v>658</v>
      </c>
    </row>
    <row r="37" spans="1:10" ht="15" customHeight="1" x14ac:dyDescent="0.35">
      <c r="A37" s="1" t="s">
        <v>659</v>
      </c>
      <c r="B37" s="28">
        <f>IF(B7&gt;B8,I21/(B7-B8),"")</f>
        <v>229711.39488858322</v>
      </c>
      <c r="C37" s="19" t="s">
        <v>58</v>
      </c>
      <c r="J37" s="33" t="s">
        <v>660</v>
      </c>
    </row>
    <row r="38" spans="1:10" ht="15" customHeight="1" x14ac:dyDescent="0.35">
      <c r="A38" s="1" t="s">
        <v>661</v>
      </c>
      <c r="B38" s="54">
        <f>(H19-B5)/365-IF(B9=1,0.5,0)</f>
        <v>3.7712328767123289</v>
      </c>
      <c r="C38" s="19" t="s">
        <v>645</v>
      </c>
      <c r="J38" s="33" t="s">
        <v>662</v>
      </c>
    </row>
    <row r="39" spans="1:10" ht="15" customHeight="1" x14ac:dyDescent="0.35">
      <c r="A39" s="1" t="s">
        <v>663</v>
      </c>
      <c r="B39" s="28">
        <f>IF(B37="","",B37/(1+B7)^B38)</f>
        <v>174525.8737300463</v>
      </c>
      <c r="C39" s="19" t="s">
        <v>58</v>
      </c>
    </row>
    <row r="40" spans="1:10" ht="15" customHeight="1" x14ac:dyDescent="0.35">
      <c r="A40" s="1" t="s">
        <v>664</v>
      </c>
      <c r="B40" s="32">
        <f>IF(B37="","",B37/Forecast!H25)</f>
        <v>12.194114438414504</v>
      </c>
      <c r="C40" s="19" t="s">
        <v>113</v>
      </c>
      <c r="J40" s="33" t="s">
        <v>665</v>
      </c>
    </row>
    <row r="42" spans="1:10" ht="15" customHeight="1" x14ac:dyDescent="0.35">
      <c r="A42" s="13" t="s">
        <v>666</v>
      </c>
      <c r="B42" s="18"/>
      <c r="C42" s="18"/>
      <c r="D42" s="18"/>
      <c r="E42" s="18"/>
      <c r="F42" s="18"/>
      <c r="G42" s="18"/>
      <c r="H42" s="18"/>
      <c r="I42" s="18"/>
      <c r="J42" s="18"/>
    </row>
    <row r="43" spans="1:10" ht="15" customHeight="1" x14ac:dyDescent="0.35">
      <c r="A43" s="1" t="s">
        <v>667</v>
      </c>
      <c r="B43" s="28">
        <f>SUM(D27:H27)</f>
        <v>39561.736415390566</v>
      </c>
      <c r="C43" s="19" t="s">
        <v>58</v>
      </c>
    </row>
    <row r="44" spans="1:10" ht="15" customHeight="1" x14ac:dyDescent="0.35">
      <c r="A44" s="1" t="s">
        <v>663</v>
      </c>
      <c r="B44" s="28">
        <f>B39</f>
        <v>174525.8737300463</v>
      </c>
      <c r="C44" s="19" t="s">
        <v>58</v>
      </c>
    </row>
    <row r="45" spans="1:10" ht="15" customHeight="1" x14ac:dyDescent="0.35">
      <c r="A45" s="2" t="s">
        <v>668</v>
      </c>
      <c r="B45" s="80">
        <f>B43+B44</f>
        <v>214087.61014543686</v>
      </c>
      <c r="C45" s="19" t="s">
        <v>58</v>
      </c>
    </row>
    <row r="46" spans="1:10" ht="15" customHeight="1" x14ac:dyDescent="0.35">
      <c r="A46" s="1" t="s">
        <v>669</v>
      </c>
      <c r="B46" s="21">
        <f>B44/B45</f>
        <v>0.81520772552640974</v>
      </c>
      <c r="C46" s="19" t="s">
        <v>66</v>
      </c>
    </row>
    <row r="47" spans="1:10" ht="15" customHeight="1" x14ac:dyDescent="0.35">
      <c r="A47" s="1" t="s">
        <v>670</v>
      </c>
      <c r="B47" s="28">
        <f>-B13</f>
        <v>-37478</v>
      </c>
      <c r="C47" s="19" t="s">
        <v>58</v>
      </c>
    </row>
    <row r="48" spans="1:10" ht="15" customHeight="1" x14ac:dyDescent="0.35">
      <c r="A48" s="2" t="s">
        <v>671</v>
      </c>
      <c r="B48" s="80">
        <f>B45+B47</f>
        <v>176609.61014543686</v>
      </c>
      <c r="C48" s="19" t="s">
        <v>58</v>
      </c>
    </row>
    <row r="49" spans="1:10" ht="15" customHeight="1" x14ac:dyDescent="0.35">
      <c r="A49" s="1" t="s">
        <v>464</v>
      </c>
      <c r="B49" s="83">
        <f>B15</f>
        <v>709.64</v>
      </c>
      <c r="C49" s="19" t="s">
        <v>85</v>
      </c>
    </row>
    <row r="50" spans="1:10" ht="15" customHeight="1" x14ac:dyDescent="0.35">
      <c r="A50" s="2" t="s">
        <v>672</v>
      </c>
      <c r="B50" s="89">
        <f>B48/B49</f>
        <v>248.87211846208905</v>
      </c>
      <c r="C50" s="19" t="s">
        <v>270</v>
      </c>
    </row>
    <row r="51" spans="1:10" ht="15" customHeight="1" x14ac:dyDescent="0.35">
      <c r="A51" s="1" t="s">
        <v>673</v>
      </c>
      <c r="B51" s="21">
        <f>B50/B16-1</f>
        <v>5.0004718851105467E-2</v>
      </c>
      <c r="C51" s="19" t="s">
        <v>66</v>
      </c>
    </row>
    <row r="53" spans="1:10" ht="15" customHeight="1" x14ac:dyDescent="0.35">
      <c r="A53" s="13" t="s">
        <v>674</v>
      </c>
      <c r="B53" s="18"/>
      <c r="C53" s="18"/>
      <c r="D53" s="18"/>
      <c r="E53" s="18"/>
      <c r="F53" s="18"/>
      <c r="G53" s="18"/>
      <c r="H53" s="18"/>
      <c r="I53" s="18"/>
      <c r="J53" s="18"/>
    </row>
    <row r="54" spans="1:10" ht="15" customHeight="1" x14ac:dyDescent="0.35">
      <c r="A54" s="69" t="s">
        <v>675</v>
      </c>
      <c r="B54" s="70" t="s">
        <v>200</v>
      </c>
      <c r="C54" s="70"/>
      <c r="D54" s="70" t="s">
        <v>676</v>
      </c>
      <c r="E54" s="70"/>
      <c r="F54" s="70"/>
      <c r="G54" s="70"/>
      <c r="H54" s="70"/>
      <c r="I54" s="70" t="s">
        <v>677</v>
      </c>
      <c r="J54" s="69" t="s">
        <v>678</v>
      </c>
    </row>
    <row r="55" spans="1:10" ht="15" customHeight="1" x14ac:dyDescent="0.35">
      <c r="A55" s="1" t="s">
        <v>679</v>
      </c>
      <c r="B55" s="21">
        <f>Forecast!H45-Forecast!H11</f>
        <v>2.681517844200984E-2</v>
      </c>
      <c r="D55" s="22" t="s">
        <v>680</v>
      </c>
      <c r="I55" s="1" t="str">
        <f>IF(B55&gt;0,"PASS","REVIEW")</f>
        <v>PASS</v>
      </c>
      <c r="J55" s="22" t="s">
        <v>681</v>
      </c>
    </row>
    <row r="56" spans="1:10" ht="15" customHeight="1" x14ac:dyDescent="0.35">
      <c r="A56" s="1" t="s">
        <v>682</v>
      </c>
      <c r="B56" s="21">
        <f>Forecast!H23-Forecast!G23</f>
        <v>5.0000000000000044E-3</v>
      </c>
      <c r="D56" s="22" t="s">
        <v>683</v>
      </c>
      <c r="I56" s="1" t="str">
        <f>IF(B56&lt;=0.0051,"PASS","REVIEW")</f>
        <v>PASS</v>
      </c>
      <c r="J56" s="22" t="s">
        <v>684</v>
      </c>
    </row>
    <row r="57" spans="1:10" ht="15" customHeight="1" x14ac:dyDescent="0.35">
      <c r="A57" s="1" t="s">
        <v>685</v>
      </c>
      <c r="B57" s="21">
        <f>Forecast!H44</f>
        <v>6.6462908093704476E-2</v>
      </c>
      <c r="D57" s="22" t="s">
        <v>686</v>
      </c>
      <c r="I57" s="1" t="str">
        <f>"see row 58"</f>
        <v>see row 58</v>
      </c>
      <c r="J57" s="22" t="s">
        <v>687</v>
      </c>
    </row>
    <row r="58" spans="1:10" ht="15" customHeight="1" x14ac:dyDescent="0.35">
      <c r="A58" s="1" t="s">
        <v>688</v>
      </c>
      <c r="B58" s="21">
        <f>B36</f>
        <v>8.7750208206553992E-3</v>
      </c>
      <c r="D58" s="22" t="s">
        <v>689</v>
      </c>
      <c r="I58" s="1" t="str">
        <f>IF(ABS(B58-B8)&lt;=0.02,"PASS","REVIEW")</f>
        <v>PASS</v>
      </c>
      <c r="J58" s="22" t="s">
        <v>690</v>
      </c>
    </row>
    <row r="59" spans="1:10" ht="15" customHeight="1" x14ac:dyDescent="0.35">
      <c r="A59" s="1" t="s">
        <v>691</v>
      </c>
      <c r="B59" s="35">
        <f>B8</f>
        <v>2.5000000000000001E-2</v>
      </c>
      <c r="D59" s="22" t="s">
        <v>692</v>
      </c>
      <c r="I59" s="1" t="str">
        <f>IF(AND(B59&gt;=0.01,B59&lt;=0.03),"PASS","REVIEW")</f>
        <v>PASS</v>
      </c>
      <c r="J59" s="22" t="s">
        <v>693</v>
      </c>
    </row>
    <row r="60" spans="1:10" ht="15" customHeight="1" x14ac:dyDescent="0.35">
      <c r="A60" s="1" t="s">
        <v>694</v>
      </c>
      <c r="B60" s="35">
        <f>WACC!B6-B8</f>
        <v>2.6799999999999997E-2</v>
      </c>
      <c r="D60" s="22" t="s">
        <v>695</v>
      </c>
      <c r="I60" s="1" t="str">
        <f>IF(B60&gt;0,"PASS","REVIEW")</f>
        <v>PASS</v>
      </c>
      <c r="J60" s="22" t="s">
        <v>696</v>
      </c>
    </row>
    <row r="61" spans="1:10" ht="15" customHeight="1" x14ac:dyDescent="0.35">
      <c r="A61" s="43" t="s">
        <v>697</v>
      </c>
      <c r="B61" s="32">
        <f>B40-Comps!I14</f>
        <v>-3.1565316902339386</v>
      </c>
      <c r="D61" s="22" t="s">
        <v>698</v>
      </c>
      <c r="I61" s="1" t="str">
        <f>IF(B61&lt;=0,"PASS","REVIEW")</f>
        <v>PASS</v>
      </c>
      <c r="J61" s="33" t="s">
        <v>699</v>
      </c>
    </row>
    <row r="62" spans="1:10" ht="15" customHeight="1" x14ac:dyDescent="0.35">
      <c r="A62" s="1" t="s">
        <v>700</v>
      </c>
      <c r="B62" s="32">
        <f>B40-Comps!D37</f>
        <v>-1.4530803595418362</v>
      </c>
      <c r="D62" s="22" t="s">
        <v>686</v>
      </c>
      <c r="I62" s="1" t="str">
        <f>"info"</f>
        <v>info</v>
      </c>
      <c r="J62" s="22" t="s">
        <v>701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9"/>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52" customWidth="1"/>
    <col min="2" max="2" width="7" customWidth="1"/>
    <col min="3" max="8" width="11" customWidth="1"/>
    <col min="9" max="9" width="92" customWidth="1"/>
  </cols>
  <sheetData>
    <row r="1" spans="1:9" ht="17.25" customHeight="1" x14ac:dyDescent="0.4">
      <c r="A1" s="5" t="s">
        <v>351</v>
      </c>
    </row>
    <row r="2" spans="1:9" ht="15" customHeight="1" x14ac:dyDescent="0.35">
      <c r="A2" s="19" t="s">
        <v>352</v>
      </c>
    </row>
    <row r="4" spans="1:9" ht="15" customHeight="1" x14ac:dyDescent="0.35">
      <c r="A4" s="69" t="s">
        <v>47</v>
      </c>
      <c r="B4" s="70" t="s">
        <v>48</v>
      </c>
      <c r="C4" s="70" t="s">
        <v>353</v>
      </c>
      <c r="D4" s="70" t="s">
        <v>354</v>
      </c>
      <c r="E4" s="70" t="s">
        <v>355</v>
      </c>
      <c r="F4" s="70" t="s">
        <v>356</v>
      </c>
      <c r="G4" s="70" t="s">
        <v>357</v>
      </c>
      <c r="H4" s="70" t="s">
        <v>358</v>
      </c>
      <c r="I4" s="69" t="s">
        <v>359</v>
      </c>
    </row>
    <row r="5" spans="1:9" ht="15" customHeight="1" x14ac:dyDescent="0.35">
      <c r="A5" s="13" t="s">
        <v>360</v>
      </c>
      <c r="B5" s="18"/>
      <c r="C5" s="18"/>
      <c r="D5" s="18"/>
      <c r="E5" s="18"/>
      <c r="F5" s="18"/>
      <c r="G5" s="18"/>
      <c r="H5" s="18"/>
      <c r="I5" s="18"/>
    </row>
    <row r="6" spans="1:9" ht="27" customHeight="1" x14ac:dyDescent="0.35">
      <c r="A6" s="1" t="s">
        <v>361</v>
      </c>
      <c r="B6" s="19" t="s">
        <v>66</v>
      </c>
      <c r="D6" s="71">
        <v>0.02</v>
      </c>
      <c r="E6" s="71">
        <v>2.5000000000000001E-2</v>
      </c>
      <c r="F6" s="71">
        <v>0.03</v>
      </c>
      <c r="G6" s="71">
        <v>0.03</v>
      </c>
      <c r="H6" s="71">
        <v>0.03</v>
      </c>
      <c r="I6" s="33" t="s">
        <v>362</v>
      </c>
    </row>
    <row r="7" spans="1:9" ht="27" customHeight="1" x14ac:dyDescent="0.35">
      <c r="A7" s="1" t="s">
        <v>363</v>
      </c>
      <c r="B7" s="19" t="s">
        <v>66</v>
      </c>
      <c r="D7" s="71">
        <v>1.4999999999999999E-2</v>
      </c>
      <c r="E7" s="71">
        <v>1.4999999999999999E-2</v>
      </c>
      <c r="F7" s="71">
        <v>1.2999999999999999E-2</v>
      </c>
      <c r="G7" s="71">
        <v>1.2E-2</v>
      </c>
      <c r="H7" s="71">
        <v>1.2E-2</v>
      </c>
      <c r="I7" s="33" t="s">
        <v>364</v>
      </c>
    </row>
    <row r="8" spans="1:9" ht="27" customHeight="1" x14ac:dyDescent="0.35">
      <c r="A8" s="1" t="s">
        <v>365</v>
      </c>
      <c r="B8" s="19" t="s">
        <v>66</v>
      </c>
      <c r="D8" s="71">
        <v>2.5000000000000001E-2</v>
      </c>
      <c r="E8" s="71">
        <v>0</v>
      </c>
      <c r="F8" s="71">
        <v>0</v>
      </c>
      <c r="G8" s="71">
        <v>0</v>
      </c>
      <c r="H8" s="71">
        <v>0</v>
      </c>
      <c r="I8" s="33" t="s">
        <v>366</v>
      </c>
    </row>
    <row r="9" spans="1:9" ht="27" customHeight="1" x14ac:dyDescent="0.35">
      <c r="A9" s="1" t="s">
        <v>367</v>
      </c>
      <c r="B9" s="19" t="s">
        <v>66</v>
      </c>
      <c r="D9" s="71">
        <v>-5.0000000000000001E-3</v>
      </c>
      <c r="E9" s="71">
        <v>-4.4999999999999998E-2</v>
      </c>
      <c r="F9" s="71">
        <v>-4.4999999999999998E-2</v>
      </c>
      <c r="G9" s="71">
        <v>0</v>
      </c>
      <c r="H9" s="71">
        <v>0</v>
      </c>
      <c r="I9" s="33" t="s">
        <v>368</v>
      </c>
    </row>
    <row r="10" spans="1:9" ht="27" customHeight="1" x14ac:dyDescent="0.35">
      <c r="A10" s="72" t="s">
        <v>369</v>
      </c>
      <c r="B10" s="19" t="s">
        <v>66</v>
      </c>
      <c r="D10" s="71">
        <v>0.47</v>
      </c>
      <c r="E10" s="71">
        <v>0.495</v>
      </c>
      <c r="F10" s="71">
        <v>0.51500000000000001</v>
      </c>
      <c r="G10" s="71">
        <v>0.52500000000000002</v>
      </c>
      <c r="H10" s="71">
        <v>0.53</v>
      </c>
      <c r="I10" s="33" t="s">
        <v>370</v>
      </c>
    </row>
    <row r="11" spans="1:9" ht="27" customHeight="1" x14ac:dyDescent="0.35">
      <c r="A11" s="1" t="s">
        <v>371</v>
      </c>
      <c r="B11" s="19" t="s">
        <v>66</v>
      </c>
      <c r="D11" s="71">
        <v>8.2000000000000003E-2</v>
      </c>
      <c r="E11" s="71">
        <v>8.4000000000000005E-2</v>
      </c>
      <c r="F11" s="71">
        <v>8.5999999999999993E-2</v>
      </c>
      <c r="G11" s="71">
        <v>8.5999999999999993E-2</v>
      </c>
      <c r="H11" s="71">
        <v>8.5999999999999993E-2</v>
      </c>
      <c r="I11" s="33" t="s">
        <v>372</v>
      </c>
    </row>
    <row r="12" spans="1:9" ht="27" customHeight="1" x14ac:dyDescent="0.35">
      <c r="A12" s="1" t="s">
        <v>92</v>
      </c>
      <c r="B12" s="19" t="s">
        <v>58</v>
      </c>
      <c r="D12" s="73">
        <v>3800</v>
      </c>
      <c r="E12" s="73">
        <v>3450</v>
      </c>
      <c r="F12" s="73">
        <v>3450</v>
      </c>
      <c r="G12" s="73">
        <v>3450</v>
      </c>
      <c r="H12" s="73">
        <v>3450</v>
      </c>
      <c r="I12" s="33" t="s">
        <v>373</v>
      </c>
    </row>
    <row r="13" spans="1:9" ht="27" customHeight="1" x14ac:dyDescent="0.35">
      <c r="A13" s="72" t="s">
        <v>374</v>
      </c>
      <c r="B13" s="19" t="s">
        <v>375</v>
      </c>
      <c r="D13" s="71">
        <v>-0.01</v>
      </c>
      <c r="E13" s="71">
        <v>-0.01</v>
      </c>
      <c r="F13" s="71">
        <v>-0.01</v>
      </c>
      <c r="G13" s="71">
        <v>-0.01</v>
      </c>
      <c r="H13" s="71">
        <v>-0.01</v>
      </c>
      <c r="I13" s="33" t="s">
        <v>376</v>
      </c>
    </row>
    <row r="14" spans="1:9" ht="27" customHeight="1" x14ac:dyDescent="0.35">
      <c r="A14" s="1" t="s">
        <v>377</v>
      </c>
      <c r="B14" s="19" t="s">
        <v>66</v>
      </c>
      <c r="D14" s="71">
        <v>0.22</v>
      </c>
      <c r="E14" s="71">
        <v>0.22</v>
      </c>
      <c r="F14" s="71">
        <v>0.22</v>
      </c>
      <c r="G14" s="71">
        <v>0.22</v>
      </c>
      <c r="H14" s="71">
        <v>0.22</v>
      </c>
      <c r="I14" s="33" t="s">
        <v>378</v>
      </c>
    </row>
    <row r="15" spans="1:9" ht="27" customHeight="1" x14ac:dyDescent="0.35">
      <c r="A15" s="1" t="s">
        <v>379</v>
      </c>
      <c r="B15" s="19" t="s">
        <v>66</v>
      </c>
      <c r="D15" s="71">
        <v>0.05</v>
      </c>
      <c r="E15" s="71">
        <v>0.04</v>
      </c>
      <c r="F15" s="71">
        <v>0.04</v>
      </c>
      <c r="G15" s="71">
        <v>0.03</v>
      </c>
      <c r="H15" s="71">
        <v>0.03</v>
      </c>
      <c r="I15" s="33" t="s">
        <v>380</v>
      </c>
    </row>
    <row r="16" spans="1:9" ht="27" customHeight="1" x14ac:dyDescent="0.35">
      <c r="A16" s="1" t="s">
        <v>381</v>
      </c>
      <c r="B16" s="19" t="s">
        <v>66</v>
      </c>
      <c r="D16" s="71">
        <v>-8.0000000000000002E-3</v>
      </c>
      <c r="E16" s="71">
        <v>-8.0000000000000002E-3</v>
      </c>
      <c r="F16" s="71">
        <v>-8.0000000000000002E-3</v>
      </c>
      <c r="G16" s="71">
        <v>-8.0000000000000002E-3</v>
      </c>
      <c r="H16" s="71">
        <v>-8.0000000000000002E-3</v>
      </c>
      <c r="I16" s="33" t="s">
        <v>382</v>
      </c>
    </row>
    <row r="17" spans="1:9" ht="27" customHeight="1" x14ac:dyDescent="0.35">
      <c r="A17" s="72" t="s">
        <v>383</v>
      </c>
      <c r="B17" s="19" t="s">
        <v>58</v>
      </c>
      <c r="D17" s="73">
        <v>250</v>
      </c>
      <c r="E17" s="73">
        <v>100</v>
      </c>
      <c r="F17" s="73">
        <v>0</v>
      </c>
      <c r="G17" s="73">
        <v>0</v>
      </c>
      <c r="H17" s="73">
        <v>0</v>
      </c>
      <c r="I17" s="33" t="s">
        <v>384</v>
      </c>
    </row>
    <row r="19" spans="1:9" ht="15" customHeight="1" x14ac:dyDescent="0.35">
      <c r="A19" s="13" t="s">
        <v>385</v>
      </c>
      <c r="B19" s="18"/>
      <c r="C19" s="18"/>
      <c r="D19" s="18"/>
      <c r="E19" s="18"/>
      <c r="F19" s="18"/>
      <c r="G19" s="18"/>
      <c r="H19" s="18"/>
      <c r="I19" s="18"/>
    </row>
    <row r="20" spans="1:9" ht="15" customHeight="1" x14ac:dyDescent="0.35">
      <c r="A20" s="1" t="s">
        <v>386</v>
      </c>
      <c r="B20" s="19" t="s">
        <v>66</v>
      </c>
      <c r="C20" s="74">
        <f>Historical_5Y!G12</f>
        <v>3.7229938271605034E-2</v>
      </c>
      <c r="D20" s="21">
        <f>SUM(D6:D9)</f>
        <v>5.5000000000000007E-2</v>
      </c>
      <c r="E20" s="21">
        <f>SUM(E6:E9)</f>
        <v>-4.9999999999999975E-3</v>
      </c>
      <c r="F20" s="21">
        <f>SUM(F6:F9)</f>
        <v>-2.0000000000000018E-3</v>
      </c>
      <c r="G20" s="21">
        <f>SUM(G6:G9)</f>
        <v>4.1999999999999996E-2</v>
      </c>
      <c r="H20" s="21">
        <f>SUM(H6:H9)</f>
        <v>4.1999999999999996E-2</v>
      </c>
      <c r="I20" s="33" t="s">
        <v>387</v>
      </c>
    </row>
    <row r="21" spans="1:9" ht="15" customHeight="1" x14ac:dyDescent="0.35">
      <c r="A21" s="2" t="s">
        <v>63</v>
      </c>
      <c r="B21" s="19" t="s">
        <v>58</v>
      </c>
      <c r="C21" s="75">
        <f>Historical_5Y!G9</f>
        <v>26885</v>
      </c>
      <c r="D21" s="30">
        <f>C21*(1+D20)</f>
        <v>28363.674999999999</v>
      </c>
      <c r="E21" s="30">
        <f>D21*(1+E20)</f>
        <v>28221.856625</v>
      </c>
      <c r="F21" s="30">
        <f>E21*(1+F20)</f>
        <v>28165.412911750002</v>
      </c>
      <c r="G21" s="30">
        <f>F21*(1+G20)</f>
        <v>29348.360254043502</v>
      </c>
      <c r="H21" s="30">
        <f>G21*(1+H20)</f>
        <v>30580.991384713332</v>
      </c>
    </row>
    <row r="22" spans="1:9" ht="15" customHeight="1" x14ac:dyDescent="0.35">
      <c r="A22" s="1" t="s">
        <v>183</v>
      </c>
      <c r="B22" s="19" t="s">
        <v>58</v>
      </c>
      <c r="C22" s="38">
        <f>Historical_5Y!G16</f>
        <v>12621</v>
      </c>
      <c r="D22" s="28">
        <f>D21*D10</f>
        <v>13330.927249999999</v>
      </c>
      <c r="E22" s="28">
        <f>E21*E10</f>
        <v>13969.819029374999</v>
      </c>
      <c r="F22" s="28">
        <f>F21*F10</f>
        <v>14505.187649551252</v>
      </c>
      <c r="G22" s="28">
        <f>G21*G10</f>
        <v>15407.889133372839</v>
      </c>
      <c r="H22" s="28">
        <f>H21*H10</f>
        <v>16207.925433898066</v>
      </c>
      <c r="I22" s="33" t="s">
        <v>388</v>
      </c>
    </row>
    <row r="23" spans="1:9" ht="15" customHeight="1" x14ac:dyDescent="0.35">
      <c r="A23" s="1" t="s">
        <v>389</v>
      </c>
      <c r="B23" s="19" t="s">
        <v>66</v>
      </c>
      <c r="C23" s="21">
        <f t="shared" ref="C23:H23" si="0">C22/C21</f>
        <v>0.46944392784080341</v>
      </c>
      <c r="D23" s="21">
        <f t="shared" si="0"/>
        <v>0.47</v>
      </c>
      <c r="E23" s="21">
        <f t="shared" si="0"/>
        <v>0.495</v>
      </c>
      <c r="F23" s="21">
        <f t="shared" si="0"/>
        <v>0.51500000000000001</v>
      </c>
      <c r="G23" s="21">
        <f t="shared" si="0"/>
        <v>0.52500000000000002</v>
      </c>
      <c r="H23" s="21">
        <f t="shared" si="0"/>
        <v>0.53</v>
      </c>
    </row>
    <row r="24" spans="1:9" ht="15" customHeight="1" x14ac:dyDescent="0.35">
      <c r="A24" s="1" t="s">
        <v>390</v>
      </c>
      <c r="B24" s="19" t="s">
        <v>58</v>
      </c>
      <c r="C24" s="38">
        <f>Historical_5Y!G22</f>
        <v>2199</v>
      </c>
      <c r="D24" s="28">
        <f>D21*D11</f>
        <v>2325.8213500000002</v>
      </c>
      <c r="E24" s="28">
        <f>E21*E11</f>
        <v>2370.6359565000002</v>
      </c>
      <c r="F24" s="28">
        <f>F21*F11</f>
        <v>2422.2255104104997</v>
      </c>
      <c r="G24" s="28">
        <f>G21*G11</f>
        <v>2523.9589818477411</v>
      </c>
      <c r="H24" s="28">
        <f>H21*H11</f>
        <v>2629.9652590853461</v>
      </c>
      <c r="I24" s="33" t="s">
        <v>391</v>
      </c>
    </row>
    <row r="25" spans="1:9" ht="15" customHeight="1" x14ac:dyDescent="0.35">
      <c r="A25" s="2" t="s">
        <v>392</v>
      </c>
      <c r="B25" s="19" t="s">
        <v>58</v>
      </c>
      <c r="C25" s="30">
        <f t="shared" ref="C25:H25" si="1">C22+C24</f>
        <v>14820</v>
      </c>
      <c r="D25" s="30">
        <f t="shared" si="1"/>
        <v>15656.748599999999</v>
      </c>
      <c r="E25" s="30">
        <f t="shared" si="1"/>
        <v>16340.454985875</v>
      </c>
      <c r="F25" s="30">
        <f t="shared" si="1"/>
        <v>16927.41315996175</v>
      </c>
      <c r="G25" s="30">
        <f t="shared" si="1"/>
        <v>17931.848115220579</v>
      </c>
      <c r="H25" s="30">
        <f t="shared" si="1"/>
        <v>18837.890692983412</v>
      </c>
    </row>
    <row r="26" spans="1:9" ht="15" customHeight="1" x14ac:dyDescent="0.35">
      <c r="A26" s="1" t="s">
        <v>393</v>
      </c>
      <c r="B26" s="19" t="s">
        <v>58</v>
      </c>
      <c r="C26" s="38">
        <f>Reference_Data!E22</f>
        <v>1582</v>
      </c>
      <c r="D26" s="28">
        <f>C26*(1+D15)</f>
        <v>1661.1000000000001</v>
      </c>
      <c r="E26" s="28">
        <f>D26*(1+E15)</f>
        <v>1727.5440000000001</v>
      </c>
      <c r="F26" s="28">
        <f>E26*(1+F15)</f>
        <v>1796.6457600000001</v>
      </c>
      <c r="G26" s="28">
        <f>F26*(1+G15)</f>
        <v>1850.5451328000001</v>
      </c>
      <c r="H26" s="28">
        <f>G26*(1+H15)</f>
        <v>1906.0614867840002</v>
      </c>
      <c r="I26" s="33" t="s">
        <v>394</v>
      </c>
    </row>
    <row r="27" spans="1:9" ht="15" customHeight="1" x14ac:dyDescent="0.35">
      <c r="A27" s="1" t="s">
        <v>395</v>
      </c>
      <c r="B27" s="19" t="s">
        <v>58</v>
      </c>
      <c r="D27" s="28">
        <f>D22-D26</f>
        <v>11669.827249999998</v>
      </c>
      <c r="E27" s="28">
        <f>E22-E26</f>
        <v>12242.275029375</v>
      </c>
      <c r="F27" s="28">
        <f>F22-F26</f>
        <v>12708.541889551252</v>
      </c>
      <c r="G27" s="28">
        <f>G22-G26</f>
        <v>13557.344000572839</v>
      </c>
      <c r="H27" s="28">
        <f>H22-H26</f>
        <v>14301.863947114067</v>
      </c>
    </row>
    <row r="28" spans="1:9" ht="15" customHeight="1" x14ac:dyDescent="0.35">
      <c r="A28" s="1" t="s">
        <v>396</v>
      </c>
      <c r="B28" s="19" t="s">
        <v>58</v>
      </c>
      <c r="D28" s="28">
        <f>D27*D14</f>
        <v>2567.3619949999998</v>
      </c>
      <c r="E28" s="28">
        <f>E27*E14</f>
        <v>2693.3005064624999</v>
      </c>
      <c r="F28" s="28">
        <f>F27*F14</f>
        <v>2795.8792157012754</v>
      </c>
      <c r="G28" s="28">
        <f>G27*G14</f>
        <v>2982.6156801260245</v>
      </c>
      <c r="H28" s="28">
        <f>H27*H14</f>
        <v>3146.4100683650945</v>
      </c>
    </row>
    <row r="29" spans="1:9" ht="15" customHeight="1" x14ac:dyDescent="0.35">
      <c r="A29" s="2" t="s">
        <v>397</v>
      </c>
      <c r="B29" s="19" t="s">
        <v>58</v>
      </c>
      <c r="C29" s="30">
        <f>C31*C30</f>
        <v>8740.08</v>
      </c>
      <c r="D29" s="30">
        <f>D27-D28</f>
        <v>9102.4652549999992</v>
      </c>
      <c r="E29" s="30">
        <f>E27-E28</f>
        <v>9548.9745229125001</v>
      </c>
      <c r="F29" s="30">
        <f>F27-F28</f>
        <v>9912.6626738499763</v>
      </c>
      <c r="G29" s="30">
        <f>G27-G28</f>
        <v>10574.728320446815</v>
      </c>
      <c r="H29" s="30">
        <f>H27-H28</f>
        <v>11155.453878748973</v>
      </c>
    </row>
    <row r="30" spans="1:9" ht="15" customHeight="1" x14ac:dyDescent="0.35">
      <c r="A30" s="1" t="s">
        <v>84</v>
      </c>
      <c r="B30" s="19" t="s">
        <v>85</v>
      </c>
      <c r="C30" s="76">
        <f>Historical_5Y!G26</f>
        <v>716.4</v>
      </c>
      <c r="D30" s="77">
        <f>C30*(1+D16)</f>
        <v>710.66879999999992</v>
      </c>
      <c r="E30" s="77">
        <f>D30*(1+E16)</f>
        <v>704.98344959999986</v>
      </c>
      <c r="F30" s="77">
        <f>E30*(1+F16)</f>
        <v>699.3435820031998</v>
      </c>
      <c r="G30" s="77">
        <f>F30*(1+G16)</f>
        <v>693.74883334717424</v>
      </c>
      <c r="H30" s="77">
        <f>G30*(1+H16)</f>
        <v>688.19884268039687</v>
      </c>
    </row>
    <row r="31" spans="1:9" ht="21.75" customHeight="1" x14ac:dyDescent="0.35">
      <c r="A31" s="2" t="s">
        <v>189</v>
      </c>
      <c r="B31" s="19" t="s">
        <v>76</v>
      </c>
      <c r="C31" s="78">
        <f>Historical_5Y!G20</f>
        <v>12.2</v>
      </c>
      <c r="D31" s="79">
        <f>D29/D30</f>
        <v>12.808308532751122</v>
      </c>
      <c r="E31" s="79">
        <f>E29/E30</f>
        <v>13.544962691436922</v>
      </c>
      <c r="F31" s="79">
        <f>F29/F30</f>
        <v>14.174238427206474</v>
      </c>
      <c r="G31" s="79">
        <f>G29/G30</f>
        <v>15.242877266439857</v>
      </c>
      <c r="H31" s="79">
        <f>H29/H30</f>
        <v>16.209637661261841</v>
      </c>
      <c r="I31" s="33" t="s">
        <v>398</v>
      </c>
    </row>
    <row r="32" spans="1:9" ht="15" customHeight="1" x14ac:dyDescent="0.35">
      <c r="A32" s="1" t="s">
        <v>399</v>
      </c>
      <c r="B32" s="19" t="s">
        <v>66</v>
      </c>
      <c r="D32" s="21">
        <f>D31/C31-1</f>
        <v>4.9861355143534736E-2</v>
      </c>
      <c r="E32" s="21">
        <f>E31/D31-1</f>
        <v>5.7513773719781947E-2</v>
      </c>
      <c r="F32" s="21">
        <f>F31/E31-1</f>
        <v>4.6458284906711222E-2</v>
      </c>
      <c r="G32" s="21">
        <f>G31/F31-1</f>
        <v>7.5393033969444412E-2</v>
      </c>
      <c r="H32" s="21">
        <f>H31/G31-1</f>
        <v>6.3423747231140748E-2</v>
      </c>
    </row>
    <row r="34" spans="1:9" ht="15" customHeight="1" x14ac:dyDescent="0.35">
      <c r="A34" s="13" t="s">
        <v>400</v>
      </c>
      <c r="B34" s="18"/>
      <c r="C34" s="18"/>
      <c r="D34" s="18"/>
      <c r="E34" s="18"/>
      <c r="F34" s="18"/>
      <c r="G34" s="18"/>
      <c r="H34" s="18"/>
      <c r="I34" s="18"/>
    </row>
    <row r="35" spans="1:9" ht="15" customHeight="1" x14ac:dyDescent="0.35">
      <c r="A35" s="1" t="s">
        <v>183</v>
      </c>
      <c r="B35" s="19" t="s">
        <v>58</v>
      </c>
      <c r="D35" s="28">
        <f>D22</f>
        <v>13330.927249999999</v>
      </c>
      <c r="E35" s="28">
        <f>E22</f>
        <v>13969.819029374999</v>
      </c>
      <c r="F35" s="28">
        <f>F22</f>
        <v>14505.187649551252</v>
      </c>
      <c r="G35" s="28">
        <f>G22</f>
        <v>15407.889133372839</v>
      </c>
      <c r="H35" s="28">
        <f>H22</f>
        <v>16207.925433898066</v>
      </c>
    </row>
    <row r="36" spans="1:9" ht="15" customHeight="1" x14ac:dyDescent="0.35">
      <c r="A36" s="1" t="s">
        <v>401</v>
      </c>
      <c r="B36" s="19" t="s">
        <v>58</v>
      </c>
      <c r="D36" s="28">
        <f>-D17</f>
        <v>-250</v>
      </c>
      <c r="E36" s="28">
        <f>-E17</f>
        <v>-100</v>
      </c>
      <c r="F36" s="28">
        <f>-F17</f>
        <v>0</v>
      </c>
      <c r="G36" s="28">
        <f>-G17</f>
        <v>0</v>
      </c>
      <c r="H36" s="28">
        <f>-H17</f>
        <v>0</v>
      </c>
      <c r="I36" s="33" t="s">
        <v>402</v>
      </c>
    </row>
    <row r="37" spans="1:9" ht="15" customHeight="1" x14ac:dyDescent="0.35">
      <c r="A37" s="2" t="s">
        <v>403</v>
      </c>
      <c r="B37" s="19" t="s">
        <v>58</v>
      </c>
      <c r="D37" s="30">
        <f>D35+D36</f>
        <v>13080.927249999999</v>
      </c>
      <c r="E37" s="30">
        <f>E35+E36</f>
        <v>13869.819029374999</v>
      </c>
      <c r="F37" s="30">
        <f>F35+F36</f>
        <v>14505.187649551252</v>
      </c>
      <c r="G37" s="30">
        <f>G35+G36</f>
        <v>15407.889133372839</v>
      </c>
      <c r="H37" s="30">
        <f>H35+H36</f>
        <v>16207.925433898066</v>
      </c>
    </row>
    <row r="38" spans="1:9" ht="15" customHeight="1" x14ac:dyDescent="0.35">
      <c r="A38" s="1" t="s">
        <v>404</v>
      </c>
      <c r="B38" s="19" t="s">
        <v>58</v>
      </c>
      <c r="D38" s="28">
        <f>-D37*D14</f>
        <v>-2877.8039949999998</v>
      </c>
      <c r="E38" s="28">
        <f>-E37*E14</f>
        <v>-3051.3601864624998</v>
      </c>
      <c r="F38" s="28">
        <f>-F37*F14</f>
        <v>-3191.1412829012752</v>
      </c>
      <c r="G38" s="28">
        <f>-G37*G14</f>
        <v>-3389.7356093420244</v>
      </c>
      <c r="H38" s="28">
        <f>-H37*H14</f>
        <v>-3565.7435954575744</v>
      </c>
      <c r="I38" s="33" t="s">
        <v>405</v>
      </c>
    </row>
    <row r="39" spans="1:9" ht="15" customHeight="1" x14ac:dyDescent="0.35">
      <c r="A39" s="1" t="s">
        <v>406</v>
      </c>
      <c r="B39" s="19" t="s">
        <v>58</v>
      </c>
      <c r="D39" s="28">
        <f>D37+D38</f>
        <v>10203.123254999999</v>
      </c>
      <c r="E39" s="28">
        <f>E37+E38</f>
        <v>10818.4588429125</v>
      </c>
      <c r="F39" s="28">
        <f>F37+F38</f>
        <v>11314.046366649976</v>
      </c>
      <c r="G39" s="28">
        <f>G37+G38</f>
        <v>12018.153524030815</v>
      </c>
      <c r="H39" s="28">
        <f>H37+H38</f>
        <v>12642.181838440492</v>
      </c>
    </row>
    <row r="40" spans="1:9" ht="15" customHeight="1" x14ac:dyDescent="0.35">
      <c r="A40" s="1" t="s">
        <v>407</v>
      </c>
      <c r="B40" s="19" t="s">
        <v>58</v>
      </c>
      <c r="D40" s="28">
        <f>D24</f>
        <v>2325.8213500000002</v>
      </c>
      <c r="E40" s="28">
        <f>E24</f>
        <v>2370.6359565000002</v>
      </c>
      <c r="F40" s="28">
        <f>F24</f>
        <v>2422.2255104104997</v>
      </c>
      <c r="G40" s="28">
        <f>G24</f>
        <v>2523.9589818477411</v>
      </c>
      <c r="H40" s="28">
        <f>H24</f>
        <v>2629.9652590853461</v>
      </c>
    </row>
    <row r="41" spans="1:9" ht="15" customHeight="1" x14ac:dyDescent="0.35">
      <c r="A41" s="1" t="s">
        <v>408</v>
      </c>
      <c r="B41" s="19" t="s">
        <v>58</v>
      </c>
      <c r="C41" s="38">
        <f>-Historical_5Y!G32</f>
        <v>-3365</v>
      </c>
      <c r="D41" s="28">
        <f>-D12</f>
        <v>-3800</v>
      </c>
      <c r="E41" s="28">
        <f>-E12</f>
        <v>-3450</v>
      </c>
      <c r="F41" s="28">
        <f>-F12</f>
        <v>-3450</v>
      </c>
      <c r="G41" s="28">
        <f>-G12</f>
        <v>-3450</v>
      </c>
      <c r="H41" s="28">
        <f>-H12</f>
        <v>-3450</v>
      </c>
    </row>
    <row r="42" spans="1:9" ht="15" customHeight="1" x14ac:dyDescent="0.35">
      <c r="A42" s="1" t="s">
        <v>409</v>
      </c>
      <c r="B42" s="19" t="s">
        <v>58</v>
      </c>
      <c r="D42" s="28">
        <f>D21*D13</f>
        <v>-283.63675000000001</v>
      </c>
      <c r="E42" s="28">
        <f>E21*E13</f>
        <v>-282.21856625000004</v>
      </c>
      <c r="F42" s="28">
        <f>F21*F13</f>
        <v>-281.65412911750002</v>
      </c>
      <c r="G42" s="28">
        <f>G21*G13</f>
        <v>-293.48360254043502</v>
      </c>
      <c r="H42" s="28">
        <f>H21*H13</f>
        <v>-305.80991384713332</v>
      </c>
    </row>
    <row r="43" spans="1:9" ht="64.5" customHeight="1" x14ac:dyDescent="0.35">
      <c r="A43" s="61" t="s">
        <v>410</v>
      </c>
      <c r="B43" s="19" t="s">
        <v>58</v>
      </c>
      <c r="D43" s="80">
        <f>SUM(D39:D42)</f>
        <v>8445.3078549999991</v>
      </c>
      <c r="E43" s="80">
        <f>SUM(E39:E42)</f>
        <v>9456.8762331625003</v>
      </c>
      <c r="F43" s="80">
        <f>SUM(F39:F42)</f>
        <v>10004.617747942977</v>
      </c>
      <c r="G43" s="80">
        <f>SUM(G39:G42)</f>
        <v>10798.628903338122</v>
      </c>
      <c r="H43" s="80">
        <f>SUM(H39:H42)</f>
        <v>11516.337183678705</v>
      </c>
      <c r="I43" s="33" t="s">
        <v>411</v>
      </c>
    </row>
    <row r="44" spans="1:9" ht="15" customHeight="1" x14ac:dyDescent="0.35">
      <c r="A44" s="1" t="s">
        <v>412</v>
      </c>
      <c r="B44" s="19" t="s">
        <v>66</v>
      </c>
      <c r="E44" s="21">
        <f>E43/D43-1</f>
        <v>0.11977874525481114</v>
      </c>
      <c r="F44" s="21">
        <f>F43/E43-1</f>
        <v>5.7919919990039315E-2</v>
      </c>
      <c r="G44" s="21">
        <f>G43/F43-1</f>
        <v>7.9364467029077623E-2</v>
      </c>
      <c r="H44" s="21">
        <f>H43/G43-1</f>
        <v>6.6462908093704476E-2</v>
      </c>
      <c r="I44" s="33" t="s">
        <v>413</v>
      </c>
    </row>
    <row r="45" spans="1:9" ht="15" customHeight="1" x14ac:dyDescent="0.35">
      <c r="A45" s="1" t="s">
        <v>414</v>
      </c>
      <c r="B45" s="19" t="s">
        <v>66</v>
      </c>
      <c r="C45" s="21">
        <f t="shared" ref="C45:H45" si="2">-C41/C21</f>
        <v>0.12516273014692209</v>
      </c>
      <c r="D45" s="21">
        <f t="shared" si="2"/>
        <v>0.13397417647748397</v>
      </c>
      <c r="E45" s="21">
        <f t="shared" si="2"/>
        <v>0.12224567808709856</v>
      </c>
      <c r="F45" s="21">
        <f t="shared" si="2"/>
        <v>0.12249065940591038</v>
      </c>
      <c r="G45" s="21">
        <f t="shared" si="2"/>
        <v>0.11755341593657426</v>
      </c>
      <c r="H45" s="21">
        <f t="shared" si="2"/>
        <v>0.11281517844200983</v>
      </c>
      <c r="I45" s="33" t="s">
        <v>415</v>
      </c>
    </row>
    <row r="46" spans="1:9" ht="25.5" customHeight="1" x14ac:dyDescent="0.35">
      <c r="A46" s="43" t="s">
        <v>416</v>
      </c>
      <c r="B46" s="19" t="s">
        <v>58</v>
      </c>
      <c r="C46" s="38">
        <f>Historical_5Y!G33</f>
        <v>7186</v>
      </c>
      <c r="D46" s="28">
        <f>D43-D26*(1-D14)</f>
        <v>7149.6498549999988</v>
      </c>
      <c r="E46" s="28">
        <f>E43-E26*(1-E14)</f>
        <v>8109.3919131625007</v>
      </c>
      <c r="F46" s="28">
        <f>F43-F26*(1-F14)</f>
        <v>8603.234055142977</v>
      </c>
      <c r="G46" s="28">
        <f>G43-G26*(1-G14)</f>
        <v>9355.2036997541218</v>
      </c>
      <c r="H46" s="28">
        <f>H43-H26*(1-H14)</f>
        <v>10029.609223987185</v>
      </c>
      <c r="I46" s="33" t="s">
        <v>417</v>
      </c>
    </row>
    <row r="47" spans="1:9" ht="15" customHeight="1" x14ac:dyDescent="0.35">
      <c r="A47" s="43" t="s">
        <v>418</v>
      </c>
      <c r="B47" s="19" t="s">
        <v>66</v>
      </c>
      <c r="D47" s="21">
        <f>D46/D29</f>
        <v>0.78546302069900065</v>
      </c>
      <c r="E47" s="21">
        <f>E46/E29</f>
        <v>0.84924217712637506</v>
      </c>
      <c r="F47" s="21">
        <f>F46/F29</f>
        <v>0.86790344211335591</v>
      </c>
      <c r="G47" s="21">
        <f>G46/G29</f>
        <v>0.88467556009598136</v>
      </c>
      <c r="H47" s="21">
        <f>H46/H29</f>
        <v>0.89907675052948666</v>
      </c>
      <c r="I47" s="33" t="s">
        <v>419</v>
      </c>
    </row>
    <row r="48" spans="1:9" ht="15" customHeight="1" x14ac:dyDescent="0.35">
      <c r="A48" s="43" t="s">
        <v>420</v>
      </c>
      <c r="B48" s="19" t="s">
        <v>58</v>
      </c>
      <c r="C48" s="38">
        <f>Historical_5Y!G18</f>
        <v>8563</v>
      </c>
      <c r="D48" s="28">
        <f>D29-D17*(1-D14)</f>
        <v>8907.4652549999992</v>
      </c>
      <c r="E48" s="28">
        <f>E29-E17*(1-E14)</f>
        <v>9470.9745229125001</v>
      </c>
      <c r="F48" s="28">
        <f>F29-F17*(1-F14)</f>
        <v>9912.6626738499763</v>
      </c>
      <c r="G48" s="28">
        <f>G29-G17*(1-G14)</f>
        <v>10574.728320446815</v>
      </c>
      <c r="H48" s="28">
        <f>H29-H17*(1-H14)</f>
        <v>11155.453878748973</v>
      </c>
    </row>
    <row r="49" spans="1:9" ht="39" customHeight="1" x14ac:dyDescent="0.35">
      <c r="A49" s="43" t="s">
        <v>421</v>
      </c>
      <c r="B49" s="19" t="s">
        <v>66</v>
      </c>
      <c r="C49" s="21">
        <f t="shared" ref="C49:H49" si="3">C46/C48</f>
        <v>0.83919187200747403</v>
      </c>
      <c r="D49" s="21">
        <f t="shared" si="3"/>
        <v>0.80265818056227711</v>
      </c>
      <c r="E49" s="21">
        <f t="shared" si="3"/>
        <v>0.85623627152031578</v>
      </c>
      <c r="F49" s="21">
        <f t="shared" si="3"/>
        <v>0.86790344211335591</v>
      </c>
      <c r="G49" s="21">
        <f t="shared" si="3"/>
        <v>0.88467556009598136</v>
      </c>
      <c r="H49" s="21">
        <f t="shared" si="3"/>
        <v>0.89907675052948666</v>
      </c>
      <c r="I49" s="33" t="s">
        <v>422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4"/>
  <sheetViews>
    <sheetView showGridLines="0" topLeftCell="A3" zoomScaleNormal="100" workbookViewId="0"/>
  </sheetViews>
  <sheetFormatPr defaultColWidth="8.6328125" defaultRowHeight="14.5" x14ac:dyDescent="0.35"/>
  <cols>
    <col min="1" max="1" width="44" customWidth="1"/>
    <col min="2" max="2" width="14" customWidth="1"/>
    <col min="3" max="3" width="7" customWidth="1"/>
    <col min="4" max="4" width="95" customWidth="1"/>
  </cols>
  <sheetData>
    <row r="1" spans="1:4" ht="17.25" customHeight="1" x14ac:dyDescent="0.4">
      <c r="A1" s="5" t="s">
        <v>264</v>
      </c>
    </row>
    <row r="2" spans="1:4" ht="15" customHeight="1" x14ac:dyDescent="0.35">
      <c r="A2" s="15" t="s">
        <v>265</v>
      </c>
    </row>
    <row r="4" spans="1:4" ht="30" customHeight="1" x14ac:dyDescent="0.35">
      <c r="A4" s="16" t="s">
        <v>266</v>
      </c>
      <c r="B4" s="17" t="s">
        <v>200</v>
      </c>
      <c r="C4" s="17" t="s">
        <v>48</v>
      </c>
      <c r="D4" s="16" t="s">
        <v>267</v>
      </c>
    </row>
    <row r="5" spans="1:4" ht="15" customHeight="1" x14ac:dyDescent="0.35">
      <c r="A5" s="13" t="s">
        <v>268</v>
      </c>
      <c r="B5" s="18"/>
      <c r="C5" s="18"/>
      <c r="D5" s="18"/>
    </row>
    <row r="6" spans="1:4" ht="64.5" customHeight="1" x14ac:dyDescent="0.35">
      <c r="A6" s="43" t="s">
        <v>269</v>
      </c>
      <c r="B6" s="26">
        <v>237.02</v>
      </c>
      <c r="C6" s="19" t="s">
        <v>270</v>
      </c>
      <c r="D6" s="33" t="s">
        <v>271</v>
      </c>
    </row>
    <row r="7" spans="1:4" ht="15" customHeight="1" x14ac:dyDescent="0.35">
      <c r="A7" s="1" t="s">
        <v>272</v>
      </c>
      <c r="B7" s="44">
        <v>46289</v>
      </c>
      <c r="C7" s="19"/>
      <c r="D7" s="22"/>
    </row>
    <row r="8" spans="1:4" ht="15" customHeight="1" x14ac:dyDescent="0.35">
      <c r="A8" s="1" t="s">
        <v>273</v>
      </c>
      <c r="B8" s="45">
        <v>707.64</v>
      </c>
      <c r="C8" s="19" t="s">
        <v>85</v>
      </c>
      <c r="D8" s="22" t="s">
        <v>274</v>
      </c>
    </row>
    <row r="9" spans="1:4" ht="15" customHeight="1" x14ac:dyDescent="0.35">
      <c r="A9" s="1" t="s">
        <v>275</v>
      </c>
      <c r="B9" s="46">
        <f>B6*B8</f>
        <v>167724.8328</v>
      </c>
      <c r="C9" s="19" t="s">
        <v>58</v>
      </c>
      <c r="D9" s="33" t="s">
        <v>276</v>
      </c>
    </row>
    <row r="10" spans="1:4" ht="15" customHeight="1" x14ac:dyDescent="0.35">
      <c r="A10" s="1" t="s">
        <v>277</v>
      </c>
      <c r="B10" s="47">
        <v>0.41</v>
      </c>
      <c r="C10" s="19"/>
      <c r="D10" s="22" t="s">
        <v>278</v>
      </c>
    </row>
    <row r="11" spans="1:4" ht="39.75" customHeight="1" x14ac:dyDescent="0.35">
      <c r="A11" s="43" t="s">
        <v>279</v>
      </c>
      <c r="B11" s="48">
        <v>5.1799999999999999E-2</v>
      </c>
      <c r="C11" s="19" t="s">
        <v>66</v>
      </c>
      <c r="D11" s="33" t="s">
        <v>280</v>
      </c>
    </row>
    <row r="12" spans="1:4" ht="39" customHeight="1" x14ac:dyDescent="0.35">
      <c r="A12" s="43" t="s">
        <v>281</v>
      </c>
      <c r="B12" s="26">
        <v>240.09</v>
      </c>
      <c r="C12" s="19" t="s">
        <v>270</v>
      </c>
      <c r="D12" s="33" t="s">
        <v>282</v>
      </c>
    </row>
    <row r="13" spans="1:4" ht="15" customHeight="1" x14ac:dyDescent="0.35">
      <c r="A13" s="13" t="s">
        <v>283</v>
      </c>
      <c r="B13" s="18"/>
      <c r="C13" s="18"/>
      <c r="D13" s="18"/>
    </row>
    <row r="14" spans="1:4" ht="15" customHeight="1" x14ac:dyDescent="0.35">
      <c r="A14" s="1" t="s">
        <v>284</v>
      </c>
      <c r="B14" s="49">
        <v>19.36</v>
      </c>
      <c r="C14" s="19" t="s">
        <v>113</v>
      </c>
      <c r="D14" s="22" t="s">
        <v>274</v>
      </c>
    </row>
    <row r="15" spans="1:4" ht="15" customHeight="1" x14ac:dyDescent="0.35">
      <c r="A15" s="1" t="s">
        <v>285</v>
      </c>
      <c r="B15" s="49">
        <v>18.03</v>
      </c>
      <c r="C15" s="19" t="s">
        <v>113</v>
      </c>
      <c r="D15" s="22" t="s">
        <v>274</v>
      </c>
    </row>
    <row r="16" spans="1:4" ht="15" customHeight="1" x14ac:dyDescent="0.35">
      <c r="A16" s="1" t="s">
        <v>286</v>
      </c>
      <c r="B16" s="49">
        <v>14.9</v>
      </c>
      <c r="C16" s="19" t="s">
        <v>113</v>
      </c>
      <c r="D16" s="22" t="s">
        <v>287</v>
      </c>
    </row>
    <row r="17" spans="1:4" ht="25.5" customHeight="1" x14ac:dyDescent="0.35">
      <c r="A17" s="43" t="s">
        <v>288</v>
      </c>
      <c r="B17" s="50">
        <f>B18/B6</f>
        <v>3.2571091047169015E-2</v>
      </c>
      <c r="C17" s="19" t="s">
        <v>66</v>
      </c>
      <c r="D17" s="33" t="s">
        <v>289</v>
      </c>
    </row>
    <row r="18" spans="1:4" ht="15" customHeight="1" x14ac:dyDescent="0.35">
      <c r="A18" s="43" t="s">
        <v>290</v>
      </c>
      <c r="B18" s="26">
        <v>7.72</v>
      </c>
      <c r="C18" s="19" t="s">
        <v>270</v>
      </c>
      <c r="D18" s="33" t="s">
        <v>291</v>
      </c>
    </row>
    <row r="19" spans="1:4" ht="15" customHeight="1" x14ac:dyDescent="0.35">
      <c r="A19" s="15" t="s">
        <v>292</v>
      </c>
      <c r="B19" s="1"/>
      <c r="C19" s="1"/>
      <c r="D19" s="1"/>
    </row>
    <row r="20" spans="1:4" ht="15" customHeight="1" x14ac:dyDescent="0.35">
      <c r="A20" s="1"/>
      <c r="B20" s="1"/>
      <c r="C20" s="1"/>
      <c r="D20" s="1"/>
    </row>
    <row r="21" spans="1:4" ht="15" customHeight="1" x14ac:dyDescent="0.35">
      <c r="A21" s="1"/>
      <c r="B21" s="1"/>
      <c r="C21" s="1"/>
      <c r="D21" s="1"/>
    </row>
    <row r="22" spans="1:4" ht="15" customHeight="1" x14ac:dyDescent="0.35">
      <c r="A22" s="1"/>
      <c r="B22" s="1"/>
      <c r="C22" s="1"/>
      <c r="D22" s="1"/>
    </row>
    <row r="23" spans="1:4" ht="15" customHeight="1" x14ac:dyDescent="0.35">
      <c r="A23" s="1"/>
      <c r="B23" s="1"/>
      <c r="C23" s="1"/>
      <c r="D23" s="1"/>
    </row>
    <row r="24" spans="1:4" ht="15" customHeight="1" x14ac:dyDescent="0.35">
      <c r="A24" s="1"/>
      <c r="B24" s="1"/>
      <c r="C24" s="1"/>
      <c r="D24" s="1"/>
    </row>
    <row r="25" spans="1:4" ht="15" customHeight="1" x14ac:dyDescent="0.35">
      <c r="A25" s="1"/>
      <c r="B25" s="1"/>
      <c r="C25" s="1"/>
      <c r="D25" s="1"/>
    </row>
    <row r="26" spans="1:4" ht="15" customHeight="1" x14ac:dyDescent="0.35">
      <c r="A26" s="1"/>
      <c r="B26" s="1"/>
      <c r="C26" s="1"/>
      <c r="D26" s="1"/>
    </row>
    <row r="27" spans="1:4" ht="15" customHeight="1" x14ac:dyDescent="0.35">
      <c r="A27" s="1"/>
      <c r="B27" s="1"/>
      <c r="C27" s="1"/>
      <c r="D27" s="1"/>
    </row>
    <row r="28" spans="1:4" ht="15" customHeight="1" x14ac:dyDescent="0.35">
      <c r="A28" s="1"/>
      <c r="B28" s="51"/>
      <c r="C28" s="1"/>
      <c r="D28" s="3"/>
    </row>
    <row r="30" spans="1:4" ht="15" customHeight="1" x14ac:dyDescent="0.35">
      <c r="A30" s="13" t="s">
        <v>293</v>
      </c>
      <c r="B30" s="18"/>
      <c r="C30" s="18"/>
      <c r="D30" s="18"/>
    </row>
    <row r="31" spans="1:4" ht="15" customHeight="1" x14ac:dyDescent="0.35">
      <c r="A31" s="1" t="s">
        <v>294</v>
      </c>
      <c r="B31" s="46">
        <f>B9+Historical_5Y!G46</f>
        <v>206923.8328</v>
      </c>
      <c r="C31" s="19" t="s">
        <v>58</v>
      </c>
      <c r="D31" s="22" t="s">
        <v>64</v>
      </c>
    </row>
    <row r="32" spans="1:4" ht="15" customHeight="1" x14ac:dyDescent="0.35">
      <c r="A32" s="1" t="s">
        <v>295</v>
      </c>
      <c r="B32" s="46">
        <f>B9+Historical_5Y!G48</f>
        <v>221764.8328</v>
      </c>
      <c r="C32" s="19" t="s">
        <v>58</v>
      </c>
      <c r="D32" s="22" t="s">
        <v>296</v>
      </c>
    </row>
    <row r="33" spans="1:4" ht="15" customHeight="1" x14ac:dyDescent="0.35">
      <c r="A33" s="1" t="s">
        <v>297</v>
      </c>
      <c r="B33" s="32">
        <f>B31/Historical_5Y!G23</f>
        <v>14.180635471491229</v>
      </c>
      <c r="C33" s="19" t="s">
        <v>113</v>
      </c>
      <c r="D33" s="22" t="s">
        <v>64</v>
      </c>
    </row>
    <row r="34" spans="1:4" ht="15" customHeight="1" x14ac:dyDescent="0.35">
      <c r="A34" s="1" t="s">
        <v>298</v>
      </c>
      <c r="B34" s="32">
        <f>B6/Historical_5Y!G20</f>
        <v>19.427868852459017</v>
      </c>
      <c r="C34" s="19" t="s">
        <v>113</v>
      </c>
      <c r="D34" s="22" t="s">
        <v>64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showGridLines="0" zoomScaleNormal="100" workbookViewId="0">
      <pane ySplit="4" topLeftCell="A69" activePane="bottomLeft" state="frozen"/>
      <selection pane="bottomLeft"/>
    </sheetView>
  </sheetViews>
  <sheetFormatPr defaultColWidth="8.6328125" defaultRowHeight="14.5" x14ac:dyDescent="0.35"/>
  <cols>
    <col min="1" max="1" width="50" customWidth="1"/>
    <col min="2" max="2" width="12" customWidth="1"/>
    <col min="3" max="3" width="7" customWidth="1"/>
    <col min="4" max="4" width="100" customWidth="1"/>
  </cols>
  <sheetData>
    <row r="1" spans="1:4" ht="17.25" customHeight="1" x14ac:dyDescent="0.4">
      <c r="A1" s="5" t="s">
        <v>503</v>
      </c>
    </row>
    <row r="2" spans="1:4" ht="15" customHeight="1" x14ac:dyDescent="0.35">
      <c r="A2" s="19" t="s">
        <v>504</v>
      </c>
    </row>
    <row r="4" spans="1:4" ht="15" customHeight="1" x14ac:dyDescent="0.35">
      <c r="A4" s="69" t="s">
        <v>266</v>
      </c>
      <c r="B4" s="70" t="s">
        <v>200</v>
      </c>
      <c r="C4" s="70" t="s">
        <v>48</v>
      </c>
      <c r="D4" s="69" t="s">
        <v>267</v>
      </c>
    </row>
    <row r="5" spans="1:4" ht="15" customHeight="1" x14ac:dyDescent="0.35">
      <c r="A5" s="13" t="s">
        <v>505</v>
      </c>
      <c r="B5" s="18"/>
      <c r="C5" s="18"/>
      <c r="D5" s="18"/>
    </row>
    <row r="6" spans="1:4" ht="15" customHeight="1" x14ac:dyDescent="0.35">
      <c r="A6" s="1" t="s">
        <v>506</v>
      </c>
      <c r="B6" s="90">
        <f>Market_WACC!B11</f>
        <v>5.1799999999999999E-2</v>
      </c>
      <c r="C6" s="19" t="s">
        <v>66</v>
      </c>
      <c r="D6" s="33" t="s">
        <v>507</v>
      </c>
    </row>
    <row r="7" spans="1:4" ht="15" customHeight="1" x14ac:dyDescent="0.35">
      <c r="A7" s="1" t="s">
        <v>508</v>
      </c>
      <c r="B7" s="85">
        <f>Market_WACC!B10</f>
        <v>0.41</v>
      </c>
      <c r="D7" s="33" t="s">
        <v>509</v>
      </c>
    </row>
    <row r="8" spans="1:4" ht="15" customHeight="1" x14ac:dyDescent="0.35">
      <c r="A8" s="1" t="s">
        <v>269</v>
      </c>
      <c r="B8" s="40">
        <f>Market_WACC!B6</f>
        <v>237.02</v>
      </c>
      <c r="C8" s="19" t="s">
        <v>270</v>
      </c>
      <c r="D8" s="33" t="s">
        <v>510</v>
      </c>
    </row>
    <row r="9" spans="1:4" ht="15" customHeight="1" x14ac:dyDescent="0.35">
      <c r="A9" s="1" t="s">
        <v>511</v>
      </c>
      <c r="B9" s="82">
        <f>Market_WACC!B8</f>
        <v>707.64</v>
      </c>
      <c r="C9" s="19" t="s">
        <v>85</v>
      </c>
      <c r="D9" s="33" t="s">
        <v>512</v>
      </c>
    </row>
    <row r="10" spans="1:4" ht="21.75" customHeight="1" x14ac:dyDescent="0.35">
      <c r="A10" s="72" t="s">
        <v>513</v>
      </c>
      <c r="B10" s="91">
        <v>2</v>
      </c>
      <c r="C10" s="19" t="s">
        <v>85</v>
      </c>
      <c r="D10" s="33" t="s">
        <v>514</v>
      </c>
    </row>
    <row r="11" spans="1:4" ht="15" customHeight="1" x14ac:dyDescent="0.35">
      <c r="A11" s="1" t="s">
        <v>515</v>
      </c>
      <c r="B11" s="83">
        <f>B9+B10</f>
        <v>709.64</v>
      </c>
      <c r="C11" s="19" t="s">
        <v>85</v>
      </c>
      <c r="D11" s="33" t="s">
        <v>516</v>
      </c>
    </row>
    <row r="12" spans="1:4" ht="15" customHeight="1" x14ac:dyDescent="0.35">
      <c r="A12" s="1" t="s">
        <v>517</v>
      </c>
      <c r="B12" s="28">
        <f>B8*B11</f>
        <v>168198.87280000001</v>
      </c>
      <c r="C12" s="19" t="s">
        <v>58</v>
      </c>
    </row>
    <row r="13" spans="1:4" ht="21.75" customHeight="1" x14ac:dyDescent="0.35">
      <c r="A13" s="72" t="s">
        <v>518</v>
      </c>
      <c r="B13" s="38">
        <f>DCF!B12</f>
        <v>38300</v>
      </c>
      <c r="C13" s="19" t="s">
        <v>58</v>
      </c>
      <c r="D13" s="33" t="s">
        <v>519</v>
      </c>
    </row>
    <row r="14" spans="1:4" ht="15" customHeight="1" x14ac:dyDescent="0.35">
      <c r="A14" s="1" t="s">
        <v>377</v>
      </c>
      <c r="B14" s="74">
        <f>Forecast!D14</f>
        <v>0.22</v>
      </c>
      <c r="C14" s="19" t="s">
        <v>66</v>
      </c>
      <c r="D14" s="33" t="s">
        <v>520</v>
      </c>
    </row>
    <row r="15" spans="1:4" ht="15" customHeight="1" x14ac:dyDescent="0.35">
      <c r="A15" s="1" t="s">
        <v>521</v>
      </c>
      <c r="B15" s="92">
        <f>B13/B12</f>
        <v>0.22770663894722604</v>
      </c>
    </row>
    <row r="17" spans="1:4" ht="15" customHeight="1" x14ac:dyDescent="0.35">
      <c r="A17" s="13" t="s">
        <v>522</v>
      </c>
      <c r="B17" s="18"/>
      <c r="C17" s="18"/>
      <c r="D17" s="18"/>
    </row>
    <row r="18" spans="1:4" ht="15" customHeight="1" x14ac:dyDescent="0.35">
      <c r="A18" s="1" t="s">
        <v>523</v>
      </c>
      <c r="B18" s="93">
        <v>0.05</v>
      </c>
      <c r="C18" s="19" t="s">
        <v>66</v>
      </c>
      <c r="D18" s="33" t="s">
        <v>524</v>
      </c>
    </row>
    <row r="19" spans="1:4" ht="15" customHeight="1" x14ac:dyDescent="0.35">
      <c r="A19" s="1" t="s">
        <v>525</v>
      </c>
      <c r="B19" s="94">
        <v>0.67</v>
      </c>
      <c r="D19" s="33" t="s">
        <v>526</v>
      </c>
    </row>
    <row r="20" spans="1:4" ht="15" customHeight="1" x14ac:dyDescent="0.35">
      <c r="A20" s="1" t="s">
        <v>527</v>
      </c>
      <c r="B20" s="54">
        <f>B19*B7+(1-B19)</f>
        <v>0.60470000000000002</v>
      </c>
      <c r="D20" s="33" t="s">
        <v>528</v>
      </c>
    </row>
    <row r="21" spans="1:4" ht="15" customHeight="1" x14ac:dyDescent="0.35">
      <c r="A21" s="1" t="s">
        <v>529</v>
      </c>
      <c r="B21" s="85">
        <f>Comps!M11</f>
        <v>0.68894443095304225</v>
      </c>
      <c r="D21" s="33" t="s">
        <v>530</v>
      </c>
    </row>
    <row r="22" spans="1:4" ht="15" customHeight="1" x14ac:dyDescent="0.35">
      <c r="A22" s="1" t="s">
        <v>531</v>
      </c>
      <c r="B22" s="54">
        <f>B21*(1+B15*(1-B14))</f>
        <v>0.81130866317214889</v>
      </c>
      <c r="D22" s="33" t="s">
        <v>532</v>
      </c>
    </row>
    <row r="23" spans="1:4" ht="15" customHeight="1" x14ac:dyDescent="0.35">
      <c r="A23" s="1" t="s">
        <v>533</v>
      </c>
      <c r="B23" s="74">
        <f>Comps!O11</f>
        <v>0.2362234034651475</v>
      </c>
      <c r="C23" s="19" t="s">
        <v>66</v>
      </c>
      <c r="D23" s="33" t="s">
        <v>534</v>
      </c>
    </row>
    <row r="24" spans="1:4" ht="15" customHeight="1" x14ac:dyDescent="0.35">
      <c r="A24" s="1" t="s">
        <v>535</v>
      </c>
      <c r="B24" s="54">
        <f>B21*(1+B23/(1-B23)*(1-B14))</f>
        <v>0.85514609677105913</v>
      </c>
      <c r="D24" s="33" t="s">
        <v>536</v>
      </c>
    </row>
    <row r="25" spans="1:4" ht="15" customHeight="1" x14ac:dyDescent="0.35">
      <c r="A25" s="1" t="s">
        <v>537</v>
      </c>
      <c r="B25" s="35">
        <f>B6+B20*B18</f>
        <v>8.2034999999999997E-2</v>
      </c>
      <c r="C25" s="19" t="s">
        <v>66</v>
      </c>
    </row>
    <row r="26" spans="1:4" ht="15" customHeight="1" x14ac:dyDescent="0.35">
      <c r="A26" s="1" t="s">
        <v>538</v>
      </c>
      <c r="B26" s="35">
        <f>B6+B22*B18</f>
        <v>9.2365433158607443E-2</v>
      </c>
      <c r="C26" s="19" t="s">
        <v>66</v>
      </c>
    </row>
    <row r="27" spans="1:4" ht="15" customHeight="1" x14ac:dyDescent="0.35">
      <c r="A27" s="1" t="s">
        <v>539</v>
      </c>
      <c r="B27" s="35">
        <f>B6+B24*B18</f>
        <v>9.4557304838552958E-2</v>
      </c>
      <c r="C27" s="19" t="s">
        <v>66</v>
      </c>
    </row>
    <row r="29" spans="1:4" ht="15" customHeight="1" x14ac:dyDescent="0.35">
      <c r="A29" s="13" t="s">
        <v>540</v>
      </c>
      <c r="B29" s="18"/>
      <c r="C29" s="18"/>
      <c r="D29" s="18"/>
    </row>
    <row r="30" spans="1:4" ht="21.75" customHeight="1" x14ac:dyDescent="0.35">
      <c r="A30" s="1" t="s">
        <v>541</v>
      </c>
      <c r="B30" s="93">
        <v>8.9999999999999993E-3</v>
      </c>
      <c r="C30" s="19" t="s">
        <v>66</v>
      </c>
      <c r="D30" s="33" t="s">
        <v>542</v>
      </c>
    </row>
    <row r="31" spans="1:4" ht="15" customHeight="1" x14ac:dyDescent="0.35">
      <c r="A31" s="1" t="s">
        <v>543</v>
      </c>
      <c r="B31" s="35">
        <f>B6+B30</f>
        <v>6.08E-2</v>
      </c>
      <c r="C31" s="19" t="s">
        <v>66</v>
      </c>
    </row>
    <row r="32" spans="1:4" ht="15" customHeight="1" x14ac:dyDescent="0.35">
      <c r="A32" s="1" t="s">
        <v>544</v>
      </c>
      <c r="B32" s="35">
        <f>B31*(1-B14)</f>
        <v>4.7424000000000001E-2</v>
      </c>
      <c r="C32" s="19" t="s">
        <v>66</v>
      </c>
    </row>
    <row r="34" spans="1:4" ht="15" customHeight="1" x14ac:dyDescent="0.35">
      <c r="A34" s="13" t="s">
        <v>545</v>
      </c>
      <c r="B34" s="18"/>
      <c r="C34" s="18"/>
      <c r="D34" s="18"/>
    </row>
    <row r="35" spans="1:4" ht="15" customHeight="1" x14ac:dyDescent="0.35">
      <c r="A35" s="1" t="s">
        <v>546</v>
      </c>
      <c r="B35" s="21">
        <f>B12/(B12+B13)</f>
        <v>0.8145268326132965</v>
      </c>
      <c r="C35" s="19" t="s">
        <v>66</v>
      </c>
    </row>
    <row r="36" spans="1:4" ht="15" customHeight="1" x14ac:dyDescent="0.35">
      <c r="A36" s="1" t="s">
        <v>547</v>
      </c>
      <c r="B36" s="35">
        <f>B35*B25+(1-B35)*B32</f>
        <v>7.5615588203578804E-2</v>
      </c>
      <c r="C36" s="19" t="s">
        <v>66</v>
      </c>
    </row>
    <row r="37" spans="1:4" ht="15" customHeight="1" x14ac:dyDescent="0.35">
      <c r="A37" s="1" t="s">
        <v>548</v>
      </c>
      <c r="B37" s="35">
        <f>B35*B26+(1-B35)*B32</f>
        <v>8.4030003203782705E-2</v>
      </c>
      <c r="C37" s="19" t="s">
        <v>66</v>
      </c>
    </row>
    <row r="38" spans="1:4" ht="15" customHeight="1" x14ac:dyDescent="0.35">
      <c r="A38" s="1" t="s">
        <v>549</v>
      </c>
      <c r="B38" s="35">
        <f>(1-B23)*B27+B23*B32</f>
        <v>8.342331515302967E-2</v>
      </c>
      <c r="C38" s="19" t="s">
        <v>66</v>
      </c>
    </row>
    <row r="39" spans="1:4" ht="48" customHeight="1" x14ac:dyDescent="0.35">
      <c r="A39" s="61" t="s">
        <v>550</v>
      </c>
      <c r="B39" s="95">
        <f>B50</f>
        <v>7.5573865906294946E-2</v>
      </c>
      <c r="C39" s="19" t="s">
        <v>66</v>
      </c>
      <c r="D39" s="33" t="s">
        <v>551</v>
      </c>
    </row>
    <row r="40" spans="1:4" ht="15" customHeight="1" x14ac:dyDescent="0.35">
      <c r="A40" s="1" t="s">
        <v>552</v>
      </c>
      <c r="B40" s="35">
        <f>MIN(B36:B38)</f>
        <v>7.5615588203578804E-2</v>
      </c>
      <c r="C40" s="35">
        <f>MAX(B36:B38)</f>
        <v>8.4030003203782705E-2</v>
      </c>
      <c r="D40" s="33" t="s">
        <v>553</v>
      </c>
    </row>
    <row r="41" spans="1:4" ht="15" customHeight="1" x14ac:dyDescent="0.35">
      <c r="A41" s="43" t="s">
        <v>554</v>
      </c>
      <c r="B41" s="35">
        <f>B35*(B6+Comps!M14*(1+B15*(1-B14))*B18)+(1-B35)*B32</f>
        <v>7.2239590292727682E-2</v>
      </c>
      <c r="C41" s="19" t="s">
        <v>66</v>
      </c>
      <c r="D41" s="33" t="s">
        <v>555</v>
      </c>
    </row>
    <row r="42" spans="1:4" ht="15" customHeight="1" x14ac:dyDescent="0.35">
      <c r="A42" s="1" t="s">
        <v>556</v>
      </c>
      <c r="B42" s="73">
        <v>-1023</v>
      </c>
      <c r="C42" s="19" t="s">
        <v>58</v>
      </c>
      <c r="D42" s="33" t="s">
        <v>557</v>
      </c>
    </row>
    <row r="44" spans="1:4" ht="15" customHeight="1" x14ac:dyDescent="0.35">
      <c r="A44" s="13" t="s">
        <v>558</v>
      </c>
      <c r="B44" s="14"/>
      <c r="C44" s="14"/>
      <c r="D44" s="14"/>
    </row>
    <row r="45" spans="1:4" ht="25.5" customHeight="1" x14ac:dyDescent="0.35">
      <c r="A45" s="43" t="s">
        <v>559</v>
      </c>
      <c r="B45" s="85">
        <f>AVERAGE(Comps!M6,Comps!M7,Comps!M10)</f>
        <v>0.51262722047501463</v>
      </c>
      <c r="C45" s="1"/>
      <c r="D45" s="33" t="s">
        <v>560</v>
      </c>
    </row>
    <row r="46" spans="1:4" ht="15" customHeight="1" x14ac:dyDescent="0.35">
      <c r="A46" s="43" t="s">
        <v>561</v>
      </c>
      <c r="B46" s="92">
        <f>1+(1-B14)*B15</f>
        <v>1.1776111783788363</v>
      </c>
      <c r="C46" s="1"/>
      <c r="D46" s="33" t="s">
        <v>562</v>
      </c>
    </row>
    <row r="47" spans="1:4" ht="25.5" customHeight="1" x14ac:dyDescent="0.35">
      <c r="A47" s="61" t="s">
        <v>563</v>
      </c>
      <c r="B47" s="88">
        <f>B45*B46</f>
        <v>0.60367554517264954</v>
      </c>
      <c r="C47" s="1"/>
      <c r="D47" s="33" t="s">
        <v>564</v>
      </c>
    </row>
    <row r="48" spans="1:4" ht="15" customHeight="1" x14ac:dyDescent="0.35">
      <c r="A48" s="43" t="s">
        <v>565</v>
      </c>
      <c r="B48" s="35">
        <f>B6+B47*B18</f>
        <v>8.1983777258632484E-2</v>
      </c>
      <c r="C48" s="1"/>
      <c r="D48" s="33" t="s">
        <v>566</v>
      </c>
    </row>
    <row r="49" spans="1:4" ht="15" customHeight="1" x14ac:dyDescent="0.35">
      <c r="A49" s="43" t="s">
        <v>544</v>
      </c>
      <c r="B49" s="35">
        <f>B32</f>
        <v>4.7424000000000001E-2</v>
      </c>
      <c r="C49" s="1"/>
      <c r="D49" s="33" t="s">
        <v>567</v>
      </c>
    </row>
    <row r="50" spans="1:4" ht="15" customHeight="1" x14ac:dyDescent="0.35">
      <c r="A50" s="61" t="s">
        <v>568</v>
      </c>
      <c r="B50" s="96">
        <f>B35*B48+(1-B35)*B49</f>
        <v>7.5573865906294946E-2</v>
      </c>
      <c r="C50" s="1"/>
      <c r="D50" s="33" t="s">
        <v>569</v>
      </c>
    </row>
    <row r="52" spans="1:4" ht="15" customHeight="1" x14ac:dyDescent="0.35">
      <c r="A52" s="13" t="s">
        <v>570</v>
      </c>
      <c r="B52" s="18"/>
      <c r="C52" s="18"/>
      <c r="D52" s="18"/>
    </row>
    <row r="53" spans="1:4" ht="15" customHeight="1" x14ac:dyDescent="0.35">
      <c r="A53" s="16" t="s">
        <v>571</v>
      </c>
      <c r="B53" s="17" t="s">
        <v>572</v>
      </c>
      <c r="C53" s="17" t="s">
        <v>573</v>
      </c>
      <c r="D53" s="17" t="s">
        <v>574</v>
      </c>
    </row>
    <row r="54" spans="1:4" ht="15" customHeight="1" x14ac:dyDescent="0.35">
      <c r="A54" s="1" t="s">
        <v>575</v>
      </c>
      <c r="B54" s="85">
        <f>Comps!M14*B46</f>
        <v>0.52180529903552197</v>
      </c>
      <c r="C54" s="35">
        <f>$B$35*($B$6+B54*$B$18)+(1-$B$35)*$B$32</f>
        <v>7.2239590292727682E-2</v>
      </c>
      <c r="D54" s="33" t="s">
        <v>576</v>
      </c>
    </row>
    <row r="55" spans="1:4" ht="15" customHeight="1" x14ac:dyDescent="0.35">
      <c r="A55" s="2" t="s">
        <v>577</v>
      </c>
      <c r="B55" s="60">
        <f>B47</f>
        <v>0.60367554517264954</v>
      </c>
      <c r="C55" s="97">
        <f>B50</f>
        <v>7.5573865906294946E-2</v>
      </c>
      <c r="D55" s="33" t="s">
        <v>578</v>
      </c>
    </row>
    <row r="56" spans="1:4" ht="15" customHeight="1" x14ac:dyDescent="0.35">
      <c r="A56" s="1" t="s">
        <v>579</v>
      </c>
      <c r="B56" s="54">
        <f>B66*B47+(1-B66)*B57</f>
        <v>0.65193856350911927</v>
      </c>
      <c r="C56" s="35">
        <f>$B$35*($B$6+B56*$B$18)+(1-$B$35)*$B$32</f>
        <v>7.7539442079193055E-2</v>
      </c>
      <c r="D56" s="33" t="s">
        <v>580</v>
      </c>
    </row>
    <row r="57" spans="1:4" ht="25.5" customHeight="1" x14ac:dyDescent="0.35">
      <c r="A57" s="1" t="s">
        <v>581</v>
      </c>
      <c r="B57" s="85">
        <f>AVERAGE(Comps!M6:M10)*B46</f>
        <v>0.79672761851852869</v>
      </c>
      <c r="C57" s="35">
        <f>$B$35*($B$6+B57*$B$18)+(1-$B$35)*$B$32</f>
        <v>8.3436170597887382E-2</v>
      </c>
      <c r="D57" s="33" t="s">
        <v>582</v>
      </c>
    </row>
    <row r="58" spans="1:4" ht="15" customHeight="1" x14ac:dyDescent="0.35">
      <c r="A58" s="1" t="s">
        <v>583</v>
      </c>
      <c r="B58" s="54">
        <f>B22</f>
        <v>0.81130866317214889</v>
      </c>
      <c r="C58" s="35">
        <f>B37</f>
        <v>8.4030003203782705E-2</v>
      </c>
      <c r="D58" s="33" t="s">
        <v>584</v>
      </c>
    </row>
    <row r="59" spans="1:4" ht="25.5" customHeight="1" x14ac:dyDescent="0.35">
      <c r="A59" s="1" t="s">
        <v>585</v>
      </c>
      <c r="B59" s="54">
        <f>B24</f>
        <v>0.85514609677105913</v>
      </c>
      <c r="C59" s="35">
        <f>B38</f>
        <v>8.342331515302967E-2</v>
      </c>
      <c r="D59" s="33" t="s">
        <v>586</v>
      </c>
    </row>
    <row r="60" spans="1:4" ht="15" customHeight="1" x14ac:dyDescent="0.35">
      <c r="A60" s="1" t="s">
        <v>587</v>
      </c>
      <c r="B60" s="54">
        <f>B20</f>
        <v>0.60470000000000002</v>
      </c>
      <c r="C60" s="35">
        <f>B36</f>
        <v>7.5615588203578804E-2</v>
      </c>
      <c r="D60" s="33" t="s">
        <v>588</v>
      </c>
    </row>
    <row r="61" spans="1:4" ht="25.5" customHeight="1" x14ac:dyDescent="0.35">
      <c r="A61" s="1" t="s">
        <v>589</v>
      </c>
      <c r="B61" s="54">
        <f>B7</f>
        <v>0.41</v>
      </c>
      <c r="C61" s="35">
        <f>$B$35*($B$6+B61*$B$18)+(1-$B$35)*$B$32</f>
        <v>6.7686169488088366E-2</v>
      </c>
      <c r="D61" s="33" t="s">
        <v>590</v>
      </c>
    </row>
    <row r="62" spans="1:4" ht="15" customHeight="1" x14ac:dyDescent="0.35">
      <c r="A62" s="1" t="s">
        <v>591</v>
      </c>
      <c r="B62" s="85">
        <f>Comps!L11</f>
        <v>0.94</v>
      </c>
      <c r="C62" s="35">
        <f>$B$35*($B$6+B62*$B$18)+(1-$B$35)*$B$32</f>
        <v>8.9271130552340719E-2</v>
      </c>
      <c r="D62" s="33" t="s">
        <v>592</v>
      </c>
    </row>
    <row r="63" spans="1:4" ht="25.5" customHeight="1" x14ac:dyDescent="0.35">
      <c r="A63" s="1" t="s">
        <v>593</v>
      </c>
      <c r="B63" s="47">
        <v>0.92</v>
      </c>
      <c r="C63" s="35">
        <f>$B$35*($B$6+B63*$B$18)+(1-$B$35)*$B$32</f>
        <v>8.8456603719727425E-2</v>
      </c>
      <c r="D63" s="33" t="s">
        <v>594</v>
      </c>
    </row>
    <row r="64" spans="1:4" ht="15" customHeight="1" x14ac:dyDescent="0.35">
      <c r="A64" s="1" t="s">
        <v>595</v>
      </c>
      <c r="C64" s="35">
        <f>AVERAGE(B36:B38)</f>
        <v>8.1022968853463731E-2</v>
      </c>
      <c r="D64" s="33" t="s">
        <v>596</v>
      </c>
    </row>
    <row r="66" spans="1:4" ht="15" customHeight="1" x14ac:dyDescent="0.35">
      <c r="A66" s="43" t="s">
        <v>597</v>
      </c>
      <c r="B66" s="71">
        <v>0.75</v>
      </c>
      <c r="D66" s="33" t="s">
        <v>598</v>
      </c>
    </row>
    <row r="68" spans="1:4" ht="15" customHeight="1" x14ac:dyDescent="0.35">
      <c r="A68" s="13" t="s">
        <v>599</v>
      </c>
      <c r="B68" s="18"/>
      <c r="C68" s="18"/>
      <c r="D68" s="18"/>
    </row>
    <row r="69" spans="1:4" ht="15" customHeight="1" x14ac:dyDescent="0.35">
      <c r="A69" s="41" t="s">
        <v>600</v>
      </c>
    </row>
    <row r="70" spans="1:4" ht="15" customHeight="1" x14ac:dyDescent="0.35">
      <c r="A70" s="41" t="s">
        <v>601</v>
      </c>
    </row>
    <row r="71" spans="1:4" ht="15" customHeight="1" x14ac:dyDescent="0.35">
      <c r="A71" s="41" t="s">
        <v>602</v>
      </c>
    </row>
    <row r="72" spans="1:4" ht="15" customHeight="1" x14ac:dyDescent="0.35">
      <c r="A72" s="41" t="s">
        <v>603</v>
      </c>
    </row>
    <row r="74" spans="1:4" ht="15" customHeight="1" x14ac:dyDescent="0.35">
      <c r="A74" s="13" t="s">
        <v>604</v>
      </c>
      <c r="B74" s="18"/>
      <c r="C74" s="18"/>
      <c r="D74" s="18"/>
    </row>
    <row r="75" spans="1:4" ht="25.5" customHeight="1" x14ac:dyDescent="0.35">
      <c r="A75" s="43" t="s">
        <v>605</v>
      </c>
      <c r="B75" s="54">
        <f>B7/B46</f>
        <v>0.34816245593424844</v>
      </c>
      <c r="D75" s="33" t="s">
        <v>606</v>
      </c>
    </row>
    <row r="76" spans="1:4" ht="25.5" customHeight="1" x14ac:dyDescent="0.35">
      <c r="A76" s="43" t="s">
        <v>607</v>
      </c>
      <c r="B76" s="54">
        <f>B20/B46</f>
        <v>0.51349716366692699</v>
      </c>
      <c r="D76" s="33" t="s">
        <v>608</v>
      </c>
    </row>
    <row r="77" spans="1:4" ht="25.5" customHeight="1" x14ac:dyDescent="0.35">
      <c r="A77" s="43" t="s">
        <v>609</v>
      </c>
      <c r="B77" s="54">
        <f>B47</f>
        <v>0.60367554517264954</v>
      </c>
      <c r="D77" s="33" t="s">
        <v>610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8"/>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30" customWidth="1"/>
    <col min="2" max="2" width="8" customWidth="1"/>
    <col min="3" max="6" width="11" customWidth="1"/>
    <col min="7" max="7" width="12" customWidth="1"/>
    <col min="8" max="8" width="11" customWidth="1"/>
    <col min="9" max="9" width="12" customWidth="1"/>
    <col min="10" max="10" width="11" customWidth="1"/>
    <col min="11" max="12" width="9" customWidth="1"/>
    <col min="13" max="14" width="10" customWidth="1"/>
    <col min="15" max="15" width="9" customWidth="1"/>
    <col min="16" max="16" width="70" customWidth="1"/>
  </cols>
  <sheetData>
    <row r="1" spans="1:16" ht="17.25" customHeight="1" x14ac:dyDescent="0.4">
      <c r="A1" s="5" t="s">
        <v>423</v>
      </c>
    </row>
    <row r="2" spans="1:16" ht="15" customHeight="1" x14ac:dyDescent="0.35">
      <c r="A2" s="19" t="s">
        <v>424</v>
      </c>
    </row>
    <row r="4" spans="1:16" ht="42" customHeight="1" x14ac:dyDescent="0.35">
      <c r="A4" s="69" t="s">
        <v>301</v>
      </c>
      <c r="B4" s="70" t="s">
        <v>302</v>
      </c>
      <c r="C4" s="70" t="s">
        <v>305</v>
      </c>
      <c r="D4" s="70" t="s">
        <v>425</v>
      </c>
      <c r="E4" s="70" t="s">
        <v>426</v>
      </c>
      <c r="F4" s="70" t="s">
        <v>427</v>
      </c>
      <c r="G4" s="70" t="s">
        <v>428</v>
      </c>
      <c r="H4" s="70" t="s">
        <v>429</v>
      </c>
      <c r="I4" s="70" t="s">
        <v>430</v>
      </c>
      <c r="J4" s="70" t="s">
        <v>431</v>
      </c>
      <c r="K4" s="70" t="s">
        <v>432</v>
      </c>
      <c r="L4" s="70" t="s">
        <v>433</v>
      </c>
      <c r="M4" s="70" t="s">
        <v>434</v>
      </c>
      <c r="N4" s="70" t="s">
        <v>435</v>
      </c>
      <c r="O4" s="70" t="s">
        <v>436</v>
      </c>
      <c r="P4" s="69" t="s">
        <v>437</v>
      </c>
    </row>
    <row r="6" spans="1:16" ht="30" customHeight="1" x14ac:dyDescent="0.35">
      <c r="A6" s="81" t="str">
        <f>Peers!A5</f>
        <v>Yum! Brands</v>
      </c>
      <c r="B6" s="81" t="str">
        <f>Peers!B5</f>
        <v>YUM</v>
      </c>
      <c r="C6" s="82">
        <f>Peers!E5</f>
        <v>37.476957831325301</v>
      </c>
      <c r="D6" s="82">
        <f>Peers!F5</f>
        <v>50.206957831325305</v>
      </c>
      <c r="E6" s="37">
        <f>Peers!I5</f>
        <v>16.471995223904678</v>
      </c>
      <c r="F6" s="83">
        <f>D6/E6</f>
        <v>3.0480192076830734</v>
      </c>
      <c r="G6" s="84">
        <v>1.139</v>
      </c>
      <c r="H6" s="83">
        <f>D6-G6</f>
        <v>49.067957831325302</v>
      </c>
      <c r="I6" s="32">
        <f>H6/F6</f>
        <v>16.098309914727835</v>
      </c>
      <c r="J6" s="83">
        <f>H6-C6</f>
        <v>11.591000000000001</v>
      </c>
      <c r="K6" s="54">
        <f>MAX(0,J6/C6)</f>
        <v>0.30928337492515484</v>
      </c>
      <c r="L6" s="85">
        <f>Peers!J5</f>
        <v>0.55000000000000004</v>
      </c>
      <c r="M6" s="54">
        <f>L6/(1+K6*(1-Forecast!$D$14))</f>
        <v>0.44310491324807871</v>
      </c>
      <c r="N6" s="37">
        <f>Peers!H5</f>
        <v>21.570180722891568</v>
      </c>
      <c r="O6" s="21">
        <f>K6/(1+K6)</f>
        <v>0.2362234034651475</v>
      </c>
      <c r="P6" s="33" t="s">
        <v>438</v>
      </c>
    </row>
    <row r="7" spans="1:16" ht="30" customHeight="1" x14ac:dyDescent="0.35">
      <c r="A7" s="81" t="str">
        <f>Peers!A6</f>
        <v>Restaurant Brands Intl.</v>
      </c>
      <c r="B7" s="81" t="str">
        <f>Peers!B6</f>
        <v>QSR</v>
      </c>
      <c r="C7" s="82">
        <f>Peers!E6</f>
        <v>32.22911945297237</v>
      </c>
      <c r="D7" s="82">
        <f>Peers!F6</f>
        <v>46.779119452972367</v>
      </c>
      <c r="E7" s="37">
        <f>Peers!I6</f>
        <v>16.003382970753705</v>
      </c>
      <c r="F7" s="83">
        <f>D7/E7</f>
        <v>2.9230769230769229</v>
      </c>
      <c r="G7" s="84">
        <v>1.9079999999999999</v>
      </c>
      <c r="H7" s="83">
        <f>D7-G7</f>
        <v>44.871119452972366</v>
      </c>
      <c r="I7" s="32">
        <f>H7/F7</f>
        <v>15.350646128648442</v>
      </c>
      <c r="J7" s="83">
        <f>H7-C7</f>
        <v>12.641999999999996</v>
      </c>
      <c r="K7" s="54">
        <f>MAX(0,J7/C7)</f>
        <v>0.39225396829245585</v>
      </c>
      <c r="L7" s="85">
        <f>Peers!J6</f>
        <v>0.53</v>
      </c>
      <c r="M7" s="54">
        <f>L7/(1+K7*(1-Forecast!$D$14))</f>
        <v>0.40583231722392293</v>
      </c>
      <c r="N7" s="37">
        <f>Peers!H6</f>
        <v>16.713227742115546</v>
      </c>
      <c r="O7" s="21">
        <f>K7/(1+K7)</f>
        <v>0.28174024080788923</v>
      </c>
      <c r="P7" s="33" t="s">
        <v>439</v>
      </c>
    </row>
    <row r="8" spans="1:16" ht="30" customHeight="1" x14ac:dyDescent="0.35">
      <c r="A8" s="81" t="str">
        <f>Peers!A7</f>
        <v>Starbucks</v>
      </c>
      <c r="B8" s="81" t="str">
        <f>Peers!B7</f>
        <v>SBUX</v>
      </c>
      <c r="C8" s="82">
        <f>Peers!E7</f>
        <v>106.7410744680851</v>
      </c>
      <c r="D8" s="82">
        <f>Peers!F7</f>
        <v>125.58107446808511</v>
      </c>
      <c r="E8" s="37">
        <f>Peers!I7</f>
        <v>22.289195309623615</v>
      </c>
      <c r="F8" s="83">
        <f>D8/E8</f>
        <v>5.6341681574239715</v>
      </c>
      <c r="G8" s="84">
        <v>9</v>
      </c>
      <c r="H8" s="83">
        <f>D8-G8</f>
        <v>116.58107446808511</v>
      </c>
      <c r="I8" s="32">
        <f>H8/F8</f>
        <v>20.691798897494706</v>
      </c>
      <c r="J8" s="83">
        <f>H8-C8</f>
        <v>9.8400000000000034</v>
      </c>
      <c r="K8" s="54">
        <f>MAX(0,J8/C8)</f>
        <v>9.2185693736314231E-2</v>
      </c>
      <c r="L8" s="85">
        <f>Peers!J7</f>
        <v>0.97</v>
      </c>
      <c r="M8" s="54">
        <f>L8/(1+K8*(1-Forecast!$D$14))</f>
        <v>0.90493107484393165</v>
      </c>
      <c r="N8" s="37">
        <f>Peers!H7</f>
        <v>31.850962765957444</v>
      </c>
      <c r="O8" s="21">
        <f>K8/(1+K8)</f>
        <v>8.440478049199808E-2</v>
      </c>
      <c r="P8" s="33" t="s">
        <v>440</v>
      </c>
    </row>
    <row r="9" spans="1:16" ht="30" customHeight="1" x14ac:dyDescent="0.35">
      <c r="A9" s="81" t="str">
        <f>Peers!A8</f>
        <v>Chipotle Mexican Grill</v>
      </c>
      <c r="B9" s="81" t="str">
        <f>Peers!B8</f>
        <v>CMG</v>
      </c>
      <c r="C9" s="82">
        <f>Peers!E8</f>
        <v>40.504273743016761</v>
      </c>
      <c r="D9" s="82">
        <f>Peers!F8</f>
        <v>45.244273743016755</v>
      </c>
      <c r="E9" s="37">
        <f>Peers!I8</f>
        <v>20.161588035780706</v>
      </c>
      <c r="F9" s="83">
        <f>D9/E9</f>
        <v>2.2440828402366861</v>
      </c>
      <c r="G9" s="84">
        <v>5.2460000000000004</v>
      </c>
      <c r="H9" s="83">
        <f>D9-G9</f>
        <v>39.998273743016753</v>
      </c>
      <c r="I9" s="32">
        <f>H9/F9</f>
        <v>17.823884673882219</v>
      </c>
      <c r="J9" s="83">
        <f>H9-C9</f>
        <v>-0.50600000000000733</v>
      </c>
      <c r="K9" s="54">
        <f>MAX(0,J9/C9)</f>
        <v>0</v>
      </c>
      <c r="L9" s="85">
        <f>Peers!J8</f>
        <v>0.94</v>
      </c>
      <c r="M9" s="54">
        <f>L9/(1+K9*(1-Forecast!$D$14))</f>
        <v>0.94</v>
      </c>
      <c r="N9" s="37">
        <f>Peers!H8</f>
        <v>25.621908752327744</v>
      </c>
      <c r="O9" s="21">
        <f>K9/(1+K9)</f>
        <v>0</v>
      </c>
      <c r="P9" s="33" t="s">
        <v>441</v>
      </c>
    </row>
    <row r="10" spans="1:16" ht="30" customHeight="1" x14ac:dyDescent="0.35">
      <c r="A10" s="81" t="str">
        <f>Peers!A9</f>
        <v>Domino's Pizza</v>
      </c>
      <c r="B10" s="81" t="str">
        <f>Peers!B9</f>
        <v>DPZ</v>
      </c>
      <c r="C10" s="82">
        <f>Peers!E9</f>
        <v>9.6974810241878355</v>
      </c>
      <c r="D10" s="82">
        <f>Peers!F9</f>
        <v>14.647481024187835</v>
      </c>
      <c r="E10" s="37">
        <f>Peers!I9</f>
        <v>14.319996692346237</v>
      </c>
      <c r="F10" s="83">
        <f>D10/E10</f>
        <v>1.0228690228690229</v>
      </c>
      <c r="G10" s="84">
        <v>0.23899999999999999</v>
      </c>
      <c r="H10" s="83">
        <f>D10-G10</f>
        <v>14.408481024187834</v>
      </c>
      <c r="I10" s="32">
        <f>H10/F10</f>
        <v>14.086340188281195</v>
      </c>
      <c r="J10" s="83">
        <f>H10-C10</f>
        <v>4.7109999999999985</v>
      </c>
      <c r="K10" s="54">
        <f>MAX(0,J10/C10)</f>
        <v>0.48579625866239268</v>
      </c>
      <c r="L10" s="85">
        <f>Peers!J9</f>
        <v>0.95</v>
      </c>
      <c r="M10" s="54">
        <f>L10/(1+K10*(1-Forecast!$D$14))</f>
        <v>0.68894443095304225</v>
      </c>
      <c r="N10" s="37">
        <f>Peers!H9</f>
        <v>14.481967074857469</v>
      </c>
      <c r="O10" s="21">
        <f>K10/(1+K10)</f>
        <v>0.32696021128747293</v>
      </c>
      <c r="P10" s="33" t="s">
        <v>442</v>
      </c>
    </row>
    <row r="11" spans="1:16" ht="30" customHeight="1" x14ac:dyDescent="0.35">
      <c r="A11" s="2" t="s">
        <v>327</v>
      </c>
      <c r="E11" s="59">
        <f>MEDIAN(E6:E10)</f>
        <v>16.471995223904678</v>
      </c>
      <c r="I11" s="59">
        <f>MEDIAN(I6:I10)</f>
        <v>16.098309914727835</v>
      </c>
      <c r="K11" s="60">
        <f>MEDIAN(K6:K10)</f>
        <v>0.30928337492515484</v>
      </c>
      <c r="L11" s="60">
        <f>MEDIAN(L6:L10)</f>
        <v>0.94</v>
      </c>
      <c r="M11" s="60">
        <f>MEDIAN(M6:M10)</f>
        <v>0.68894443095304225</v>
      </c>
      <c r="N11" s="59">
        <f>MEDIAN(N6:N10)</f>
        <v>21.570180722891568</v>
      </c>
      <c r="O11" s="86">
        <f>MEDIAN(O6:O10)</f>
        <v>0.2362234034651475</v>
      </c>
      <c r="P11" s="33" t="s">
        <v>443</v>
      </c>
    </row>
    <row r="12" spans="1:16" ht="15" customHeight="1" x14ac:dyDescent="0.35">
      <c r="A12" s="2" t="s">
        <v>444</v>
      </c>
      <c r="E12" s="32">
        <f>PERCENTILE(E6:E10,0.25)</f>
        <v>16.003382970753705</v>
      </c>
      <c r="I12" s="32">
        <f>PERCENTILE(I6:I10,0.25)</f>
        <v>15.350646128648442</v>
      </c>
      <c r="K12" s="54">
        <f>PERCENTILE(K6:K10,0.25)</f>
        <v>9.2185693736314231E-2</v>
      </c>
      <c r="L12" s="54">
        <f>PERCENTILE(L6:L10,0.25)</f>
        <v>0.55000000000000004</v>
      </c>
      <c r="M12" s="54">
        <f>PERCENTILE(M6:M10,0.25)</f>
        <v>0.44310491324807871</v>
      </c>
      <c r="N12" s="32">
        <f>PERCENTILE(N6:N10,0.25)</f>
        <v>16.713227742115546</v>
      </c>
      <c r="O12" s="21">
        <f>PERCENTILE(O6:O10,0.25)</f>
        <v>8.440478049199808E-2</v>
      </c>
    </row>
    <row r="13" spans="1:16" ht="15" customHeight="1" x14ac:dyDescent="0.35">
      <c r="A13" s="2" t="s">
        <v>445</v>
      </c>
      <c r="E13" s="32">
        <f>PERCENTILE(E6:E10,0.75)</f>
        <v>20.161588035780706</v>
      </c>
      <c r="I13" s="32">
        <f>PERCENTILE(I6:I10,0.75)</f>
        <v>17.823884673882219</v>
      </c>
      <c r="K13" s="54">
        <f>PERCENTILE(K6:K10,0.75)</f>
        <v>0.39225396829245585</v>
      </c>
      <c r="L13" s="54">
        <f>PERCENTILE(L6:L10,0.75)</f>
        <v>0.95</v>
      </c>
      <c r="M13" s="54">
        <f>PERCENTILE(M6:M10,0.75)</f>
        <v>0.90493107484393165</v>
      </c>
      <c r="N13" s="32">
        <f>PERCENTILE(N6:N10,0.75)</f>
        <v>25.621908752327744</v>
      </c>
      <c r="O13" s="21">
        <f>PERCENTILE(O6:O10,0.75)</f>
        <v>0.28174024080788923</v>
      </c>
    </row>
    <row r="14" spans="1:16" ht="15" customHeight="1" x14ac:dyDescent="0.35">
      <c r="A14" s="61" t="s">
        <v>446</v>
      </c>
      <c r="E14" s="32">
        <f>MEDIAN(E6,E7,E10)</f>
        <v>16.003382970753705</v>
      </c>
      <c r="I14" s="87">
        <f>MEDIAN(I6,I7,I10)</f>
        <v>15.350646128648442</v>
      </c>
      <c r="K14" s="54">
        <f>MEDIAN(K6,K7,K10)</f>
        <v>0.39225396829245585</v>
      </c>
      <c r="L14" s="54">
        <f>MEDIAN(L6,L7,L10)</f>
        <v>0.55000000000000004</v>
      </c>
      <c r="M14" s="54">
        <f>MEDIAN(M6,M7,M10)</f>
        <v>0.44310491324807871</v>
      </c>
      <c r="N14" s="87">
        <f>MEDIAN(N6,N7,N10)</f>
        <v>16.713227742115546</v>
      </c>
      <c r="O14" s="21">
        <f>MEDIAN(O6,O7,O10)</f>
        <v>0.28174024080788923</v>
      </c>
    </row>
    <row r="15" spans="1:16" ht="15" customHeight="1" x14ac:dyDescent="0.35">
      <c r="A15" s="61" t="s">
        <v>447</v>
      </c>
      <c r="K15" s="60">
        <f>AVERAGE(K6,K7,K10)</f>
        <v>0.39577786729333447</v>
      </c>
      <c r="L15" s="60">
        <f>AVERAGE(L6,L7,L10)</f>
        <v>0.67666666666666675</v>
      </c>
      <c r="M15" s="88">
        <f>AVERAGE(M6,M7,M10)</f>
        <v>0.51262722047501463</v>
      </c>
      <c r="O15" s="86">
        <f>AVERAGE(O6,O7,O10)</f>
        <v>0.28164128518683657</v>
      </c>
    </row>
    <row r="16" spans="1:16" ht="15" customHeight="1" x14ac:dyDescent="0.35">
      <c r="A16" s="13" t="s">
        <v>448</v>
      </c>
      <c r="B16" s="18"/>
      <c r="C16" s="18"/>
      <c r="D16" s="18"/>
      <c r="E16" s="18"/>
      <c r="F16" s="18"/>
      <c r="G16" s="18"/>
      <c r="H16" s="18"/>
      <c r="I16" s="18"/>
      <c r="J16" s="18"/>
      <c r="K16" s="18"/>
      <c r="L16" s="18"/>
      <c r="M16" s="18"/>
      <c r="N16" s="18"/>
      <c r="O16" s="18"/>
      <c r="P16" s="18"/>
    </row>
    <row r="17" spans="1:16" ht="21.75" customHeight="1" x14ac:dyDescent="0.35">
      <c r="A17" s="1" t="s">
        <v>449</v>
      </c>
      <c r="B17" s="19" t="s">
        <v>58</v>
      </c>
      <c r="C17" s="28">
        <f>Historical_5Y!G15+Reference_Data!I31-Reference_Data!H31</f>
        <v>12805</v>
      </c>
      <c r="P17" s="33" t="s">
        <v>450</v>
      </c>
    </row>
    <row r="18" spans="1:16" ht="15" customHeight="1" x14ac:dyDescent="0.35">
      <c r="A18" s="1" t="s">
        <v>451</v>
      </c>
      <c r="B18" s="19" t="s">
        <v>58</v>
      </c>
      <c r="C18" s="73">
        <v>1131</v>
      </c>
      <c r="P18" s="33" t="s">
        <v>452</v>
      </c>
    </row>
    <row r="19" spans="1:16" ht="15" customHeight="1" x14ac:dyDescent="0.35">
      <c r="A19" s="1" t="s">
        <v>453</v>
      </c>
      <c r="B19" s="19" t="s">
        <v>58</v>
      </c>
      <c r="C19" s="73">
        <v>1064</v>
      </c>
      <c r="P19" s="33" t="s">
        <v>454</v>
      </c>
    </row>
    <row r="20" spans="1:16" ht="15" customHeight="1" x14ac:dyDescent="0.35">
      <c r="A20" s="1" t="s">
        <v>455</v>
      </c>
      <c r="B20" s="19" t="s">
        <v>58</v>
      </c>
      <c r="C20" s="28">
        <f>Historical_5Y!G22+C18-C19</f>
        <v>2266</v>
      </c>
    </row>
    <row r="21" spans="1:16" ht="15" customHeight="1" x14ac:dyDescent="0.35">
      <c r="A21" s="2" t="s">
        <v>456</v>
      </c>
      <c r="B21" s="19" t="s">
        <v>58</v>
      </c>
      <c r="C21" s="30">
        <f>C17+C20</f>
        <v>15071</v>
      </c>
      <c r="P21" s="33" t="s">
        <v>457</v>
      </c>
    </row>
    <row r="22" spans="1:16" ht="15" customHeight="1" x14ac:dyDescent="0.35">
      <c r="A22" s="1" t="s">
        <v>458</v>
      </c>
      <c r="B22" s="19" t="s">
        <v>66</v>
      </c>
      <c r="C22" s="21">
        <f>(DATE(2026,12,31)-Market_WACC!B7)/365</f>
        <v>0.26849315068493151</v>
      </c>
      <c r="P22" s="33" t="s">
        <v>459</v>
      </c>
    </row>
    <row r="23" spans="1:16" ht="21.75" customHeight="1" x14ac:dyDescent="0.35">
      <c r="A23" s="2" t="s">
        <v>460</v>
      </c>
      <c r="B23" s="19" t="s">
        <v>76</v>
      </c>
      <c r="C23" s="79">
        <f>C22*Forecast!D31+(1-C22)*Forecast!E31</f>
        <v>13.347176095406212</v>
      </c>
      <c r="P23" s="33" t="s">
        <v>461</v>
      </c>
    </row>
    <row r="24" spans="1:16" ht="21.75" customHeight="1" x14ac:dyDescent="0.35">
      <c r="A24" s="1" t="s">
        <v>462</v>
      </c>
      <c r="B24" s="19" t="s">
        <v>58</v>
      </c>
      <c r="C24" s="38">
        <f>DCF!B13</f>
        <v>37478</v>
      </c>
      <c r="P24" s="33" t="s">
        <v>463</v>
      </c>
    </row>
    <row r="25" spans="1:16" ht="15" customHeight="1" x14ac:dyDescent="0.35">
      <c r="A25" s="1" t="s">
        <v>464</v>
      </c>
      <c r="B25" s="19" t="s">
        <v>85</v>
      </c>
      <c r="C25" s="82">
        <f>WACC!B11</f>
        <v>709.64</v>
      </c>
      <c r="P25" s="33" t="s">
        <v>465</v>
      </c>
    </row>
    <row r="27" spans="1:16" ht="15" customHeight="1" x14ac:dyDescent="0.35">
      <c r="A27" s="13" t="s">
        <v>466</v>
      </c>
      <c r="B27" s="18"/>
      <c r="C27" s="18"/>
      <c r="D27" s="18"/>
      <c r="E27" s="18"/>
      <c r="F27" s="18"/>
      <c r="G27" s="18"/>
      <c r="H27" s="18"/>
      <c r="I27" s="18"/>
      <c r="J27" s="18"/>
      <c r="K27" s="18"/>
      <c r="L27" s="18"/>
      <c r="M27" s="18"/>
      <c r="N27" s="18"/>
      <c r="O27" s="18"/>
      <c r="P27" s="18"/>
    </row>
    <row r="28" spans="1:16" ht="15" customHeight="1" x14ac:dyDescent="0.35">
      <c r="A28" s="69" t="s">
        <v>467</v>
      </c>
      <c r="B28" s="70"/>
      <c r="C28" s="70" t="s">
        <v>468</v>
      </c>
      <c r="D28" s="70" t="s">
        <v>469</v>
      </c>
      <c r="E28" s="70" t="s">
        <v>470</v>
      </c>
      <c r="F28" s="70" t="s">
        <v>471</v>
      </c>
      <c r="G28" s="70"/>
      <c r="H28" s="70"/>
      <c r="I28" s="70"/>
      <c r="J28" s="70"/>
      <c r="K28" s="70"/>
      <c r="L28" s="70"/>
      <c r="M28" s="70"/>
      <c r="N28" s="70"/>
      <c r="O28" s="70"/>
      <c r="P28" s="69" t="s">
        <v>180</v>
      </c>
    </row>
    <row r="29" spans="1:16" ht="39" customHeight="1" x14ac:dyDescent="0.35">
      <c r="A29" s="43" t="s">
        <v>472</v>
      </c>
      <c r="C29" s="39">
        <f>MIN(N6,N7,N10)*$C$23</f>
        <v>193.29336475599743</v>
      </c>
      <c r="D29" s="39">
        <f>N14*$C$23</f>
        <v>223.07439379664456</v>
      </c>
      <c r="E29" s="39">
        <f>MAX(N6,N7,N10)*$C$23</f>
        <v>287.90100051817024</v>
      </c>
      <c r="F29" s="71">
        <v>0.5</v>
      </c>
      <c r="P29" s="33" t="s">
        <v>473</v>
      </c>
    </row>
    <row r="30" spans="1:16" ht="39" customHeight="1" x14ac:dyDescent="0.35">
      <c r="A30" s="43" t="s">
        <v>474</v>
      </c>
      <c r="C30" s="39">
        <f>(MIN(I6,I7,I10)*$C$21-$C$24)/$C$25</f>
        <v>246.34636291300646</v>
      </c>
      <c r="D30" s="39">
        <f>(I14*$C$21-$C$24)/$C$25</f>
        <v>273.19709684468273</v>
      </c>
      <c r="E30" s="39">
        <f>(MAX(I6,I7,I10)*$C$21-$C$24)/$C$25</f>
        <v>289.07562809997069</v>
      </c>
      <c r="F30" s="21">
        <f>1-F29</f>
        <v>0.5</v>
      </c>
      <c r="P30" s="33" t="s">
        <v>475</v>
      </c>
    </row>
    <row r="31" spans="1:16" ht="63.75" customHeight="1" x14ac:dyDescent="0.35">
      <c r="A31" s="61" t="s">
        <v>476</v>
      </c>
      <c r="C31" s="79">
        <f>C29*$F$29+C30*$F$30</f>
        <v>219.81986383450194</v>
      </c>
      <c r="D31" s="89">
        <f>D29*$F$29+D30*$F$30</f>
        <v>248.13574532066366</v>
      </c>
      <c r="E31" s="79">
        <f>E29*$F$29+E30*$F$30</f>
        <v>288.48831430907046</v>
      </c>
      <c r="P31" s="33" t="s">
        <v>477</v>
      </c>
    </row>
    <row r="33" spans="1:16" ht="15" customHeight="1" x14ac:dyDescent="0.35">
      <c r="A33" s="13" t="s">
        <v>478</v>
      </c>
      <c r="B33" s="18"/>
      <c r="C33" s="18"/>
      <c r="D33" s="18"/>
      <c r="E33" s="18"/>
      <c r="F33" s="18"/>
      <c r="G33" s="18"/>
      <c r="H33" s="18"/>
      <c r="I33" s="18"/>
      <c r="J33" s="18"/>
      <c r="K33" s="18"/>
      <c r="L33" s="18"/>
      <c r="M33" s="18"/>
      <c r="N33" s="18"/>
      <c r="O33" s="18"/>
      <c r="P33" s="18"/>
    </row>
    <row r="34" spans="1:16" ht="25.5" customHeight="1" x14ac:dyDescent="0.35">
      <c r="A34" s="43" t="s">
        <v>479</v>
      </c>
      <c r="C34" s="39">
        <f>(N12*$C$23)*$F$29+((I12*$C$21-$C$24)/$C$25)*$F$30</f>
        <v>248.13574532066366</v>
      </c>
      <c r="D34" s="39">
        <f>(N11*$C$23)*$F$29+((I11*$C$21-$C$24)/$C$25)*$F$30</f>
        <v>288.48831430907046</v>
      </c>
      <c r="E34" s="39">
        <f>(N13*$C$23)*$F$29+((I13*$C$21-$C$24)/$C$25)*$F$30</f>
        <v>333.85134995673417</v>
      </c>
      <c r="P34" s="33" t="s">
        <v>480</v>
      </c>
    </row>
    <row r="35" spans="1:16" ht="21.75" customHeight="1" x14ac:dyDescent="0.35">
      <c r="A35" s="1" t="s">
        <v>481</v>
      </c>
      <c r="D35" s="39">
        <f>(E11*(C22*Forecast!D25+(1-C22)*Forecast!E25)-(C24+DCF!B14))/C25</f>
        <v>301.46147960397451</v>
      </c>
      <c r="P35" s="33" t="s">
        <v>482</v>
      </c>
    </row>
    <row r="36" spans="1:16" ht="15" customHeight="1" x14ac:dyDescent="0.35">
      <c r="A36" s="1" t="s">
        <v>483</v>
      </c>
      <c r="D36" s="32">
        <f>Market_WACC!B6/C23</f>
        <v>17.758063451457481</v>
      </c>
      <c r="P36" s="33" t="s">
        <v>484</v>
      </c>
    </row>
    <row r="37" spans="1:16" ht="15" customHeight="1" x14ac:dyDescent="0.35">
      <c r="A37" s="1" t="s">
        <v>485</v>
      </c>
      <c r="D37" s="32">
        <f>(WACC!B12+C24)/C21</f>
        <v>13.64719479795634</v>
      </c>
      <c r="P37" s="33" t="s">
        <v>486</v>
      </c>
    </row>
    <row r="39" spans="1:16" ht="15" customHeight="1" x14ac:dyDescent="0.35">
      <c r="A39" s="13" t="s">
        <v>487</v>
      </c>
      <c r="B39" s="18"/>
      <c r="C39" s="18"/>
      <c r="D39" s="18"/>
      <c r="E39" s="18"/>
      <c r="F39" s="18"/>
      <c r="G39" s="18"/>
      <c r="H39" s="18"/>
      <c r="I39" s="18"/>
      <c r="J39" s="18"/>
      <c r="K39" s="18"/>
      <c r="L39" s="18"/>
      <c r="M39" s="18"/>
      <c r="N39" s="18"/>
      <c r="O39" s="18"/>
      <c r="P39" s="18"/>
    </row>
    <row r="40" spans="1:16" ht="30" customHeight="1" x14ac:dyDescent="0.35">
      <c r="A40" s="16" t="s">
        <v>301</v>
      </c>
      <c r="B40" s="17" t="s">
        <v>302</v>
      </c>
      <c r="C40" s="17" t="s">
        <v>435</v>
      </c>
      <c r="D40" s="17" t="s">
        <v>488</v>
      </c>
      <c r="E40" s="17" t="s">
        <v>489</v>
      </c>
      <c r="F40" s="17" t="s">
        <v>490</v>
      </c>
      <c r="G40" s="17" t="s">
        <v>491</v>
      </c>
      <c r="P40" s="17" t="s">
        <v>492</v>
      </c>
    </row>
    <row r="41" spans="1:16" ht="25.5" customHeight="1" x14ac:dyDescent="0.35">
      <c r="A41" s="1" t="str">
        <f t="shared" ref="A41:B45" si="0">A6</f>
        <v>Yum! Brands</v>
      </c>
      <c r="B41" s="1" t="str">
        <f t="shared" si="0"/>
        <v>YUM</v>
      </c>
      <c r="C41" s="32">
        <f>N6</f>
        <v>21.570180722891568</v>
      </c>
      <c r="D41" s="37">
        <f>Peers!G5</f>
        <v>17.443283132530123</v>
      </c>
      <c r="E41" s="21">
        <f t="shared" ref="E41:E46" si="1">D41/C41-1</f>
        <v>-0.19132420091324198</v>
      </c>
      <c r="F41" s="32">
        <f>I6</f>
        <v>16.098309914727835</v>
      </c>
      <c r="G41" s="7" t="s">
        <v>493</v>
      </c>
      <c r="P41" s="33" t="s">
        <v>494</v>
      </c>
    </row>
    <row r="42" spans="1:16" ht="25.5" customHeight="1" x14ac:dyDescent="0.35">
      <c r="A42" s="1" t="str">
        <f t="shared" si="0"/>
        <v>Restaurant Brands Intl.</v>
      </c>
      <c r="B42" s="1" t="str">
        <f t="shared" si="0"/>
        <v>QSR</v>
      </c>
      <c r="C42" s="32">
        <f>N7</f>
        <v>16.713227742115546</v>
      </c>
      <c r="D42" s="37">
        <f>Peers!G6</f>
        <v>19.127690482835611</v>
      </c>
      <c r="E42" s="21">
        <f t="shared" si="1"/>
        <v>0.14446417998815853</v>
      </c>
      <c r="F42" s="32">
        <f>I7</f>
        <v>15.350646128648442</v>
      </c>
      <c r="G42" s="7" t="s">
        <v>493</v>
      </c>
      <c r="P42" s="33" t="s">
        <v>495</v>
      </c>
    </row>
    <row r="43" spans="1:16" ht="25.5" customHeight="1" x14ac:dyDescent="0.35">
      <c r="A43" s="1" t="str">
        <f t="shared" si="0"/>
        <v>Starbucks</v>
      </c>
      <c r="B43" s="1" t="str">
        <f t="shared" si="0"/>
        <v>SBUX</v>
      </c>
      <c r="C43" s="32">
        <f>N8</f>
        <v>31.850962765957444</v>
      </c>
      <c r="D43" s="37">
        <f>Peers!G7</f>
        <v>53.868675531914903</v>
      </c>
      <c r="E43" s="21">
        <f t="shared" si="1"/>
        <v>0.69127306850172077</v>
      </c>
      <c r="F43" s="32">
        <f>I8</f>
        <v>20.691798897494706</v>
      </c>
      <c r="G43" s="7" t="s">
        <v>496</v>
      </c>
      <c r="P43" s="33" t="s">
        <v>497</v>
      </c>
    </row>
    <row r="44" spans="1:16" ht="25.5" customHeight="1" x14ac:dyDescent="0.35">
      <c r="A44" s="1" t="str">
        <f t="shared" si="0"/>
        <v>Chipotle Mexican Grill</v>
      </c>
      <c r="B44" s="1" t="str">
        <f t="shared" si="0"/>
        <v>CMG</v>
      </c>
      <c r="C44" s="32">
        <f>N9</f>
        <v>25.621908752327744</v>
      </c>
      <c r="D44" s="37">
        <f>Peers!G8</f>
        <v>30.122383612662944</v>
      </c>
      <c r="E44" s="21">
        <f t="shared" si="1"/>
        <v>0.17564947654129526</v>
      </c>
      <c r="F44" s="32">
        <f>I9</f>
        <v>17.823884673882219</v>
      </c>
      <c r="G44" s="7" t="s">
        <v>496</v>
      </c>
      <c r="P44" s="33" t="s">
        <v>498</v>
      </c>
    </row>
    <row r="45" spans="1:16" ht="25.5" customHeight="1" x14ac:dyDescent="0.35">
      <c r="A45" s="1" t="str">
        <f t="shared" si="0"/>
        <v>Domino's Pizza</v>
      </c>
      <c r="B45" s="1" t="str">
        <f t="shared" si="0"/>
        <v>DPZ</v>
      </c>
      <c r="C45" s="32">
        <f>N10</f>
        <v>14.481967074857469</v>
      </c>
      <c r="D45" s="37">
        <f>Peers!G9</f>
        <v>16.597421650979992</v>
      </c>
      <c r="E45" s="21">
        <f t="shared" si="1"/>
        <v>0.14607508532423208</v>
      </c>
      <c r="F45" s="32">
        <f>I10</f>
        <v>14.086340188281195</v>
      </c>
      <c r="G45" s="7" t="s">
        <v>493</v>
      </c>
      <c r="P45" s="33" t="s">
        <v>499</v>
      </c>
    </row>
    <row r="46" spans="1:16" ht="21.75" customHeight="1" x14ac:dyDescent="0.35">
      <c r="A46" s="1" t="s">
        <v>330</v>
      </c>
      <c r="B46" s="1" t="s">
        <v>331</v>
      </c>
      <c r="C46" s="37">
        <f>Peers!H13</f>
        <v>17.799452705235538</v>
      </c>
      <c r="D46" s="37">
        <f>Peers!G13</f>
        <v>19.112446166021073</v>
      </c>
      <c r="E46" s="21">
        <f t="shared" si="1"/>
        <v>7.3765945646145026E-2</v>
      </c>
      <c r="F46" s="32">
        <f>D37</f>
        <v>13.64719479795634</v>
      </c>
      <c r="P46" s="33" t="s">
        <v>500</v>
      </c>
    </row>
    <row r="47" spans="1:16" ht="15" customHeight="1" x14ac:dyDescent="0.35">
      <c r="A47" s="2" t="s">
        <v>501</v>
      </c>
      <c r="C47" s="59">
        <f>MEDIAN(C41,C42,C45)</f>
        <v>16.713227742115546</v>
      </c>
      <c r="D47" s="59">
        <f>MEDIAN(D41,D42,D45)</f>
        <v>17.443283132530123</v>
      </c>
      <c r="E47" s="86">
        <f>MEDIAN(E41,E42,E45)</f>
        <v>0.14446417998815853</v>
      </c>
      <c r="F47" s="59">
        <f>MEDIAN(F41,F42,F45)</f>
        <v>15.350646128648442</v>
      </c>
    </row>
    <row r="48" spans="1:16" ht="39.75" customHeight="1" x14ac:dyDescent="0.35">
      <c r="A48" s="122" t="s">
        <v>502</v>
      </c>
      <c r="B48" s="122"/>
      <c r="C48" s="122"/>
      <c r="D48" s="122"/>
      <c r="E48" s="122"/>
      <c r="F48" s="122"/>
      <c r="G48" s="122"/>
      <c r="H48" s="122"/>
      <c r="I48" s="122"/>
      <c r="J48" s="122"/>
      <c r="K48" s="122"/>
      <c r="L48" s="122"/>
      <c r="M48" s="122"/>
      <c r="N48" s="122"/>
      <c r="O48" s="122"/>
      <c r="P48" s="122"/>
    </row>
  </sheetData>
  <mergeCells count="1">
    <mergeCell ref="A48:P4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3"/>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26" customWidth="1"/>
    <col min="2" max="2" width="8" customWidth="1"/>
    <col min="3" max="3" width="10" customWidth="1"/>
    <col min="4" max="4" width="15" customWidth="1"/>
    <col min="5" max="5" width="14" customWidth="1"/>
    <col min="6" max="6" width="10" customWidth="1"/>
    <col min="7" max="8" width="11" customWidth="1"/>
    <col min="9" max="9" width="12" customWidth="1"/>
    <col min="10" max="10" width="10" customWidth="1"/>
    <col min="11" max="11" width="70" customWidth="1"/>
  </cols>
  <sheetData>
    <row r="1" spans="1:11" ht="17.25" customHeight="1" x14ac:dyDescent="0.4">
      <c r="A1" s="5" t="s">
        <v>299</v>
      </c>
    </row>
    <row r="2" spans="1:11" ht="15" customHeight="1" x14ac:dyDescent="0.35">
      <c r="A2" s="15" t="s">
        <v>300</v>
      </c>
    </row>
    <row r="4" spans="1:11" ht="30" customHeight="1" x14ac:dyDescent="0.35">
      <c r="A4" s="16" t="s">
        <v>301</v>
      </c>
      <c r="B4" s="17" t="s">
        <v>302</v>
      </c>
      <c r="C4" s="17" t="s">
        <v>303</v>
      </c>
      <c r="D4" s="17" t="s">
        <v>304</v>
      </c>
      <c r="E4" s="17" t="s">
        <v>305</v>
      </c>
      <c r="F4" s="17" t="s">
        <v>306</v>
      </c>
      <c r="G4" s="17" t="s">
        <v>307</v>
      </c>
      <c r="H4" s="17" t="s">
        <v>308</v>
      </c>
      <c r="I4" s="17" t="s">
        <v>309</v>
      </c>
      <c r="J4" s="17" t="s">
        <v>310</v>
      </c>
      <c r="K4" s="16" t="s">
        <v>180</v>
      </c>
    </row>
    <row r="5" spans="1:11" ht="15" customHeight="1" x14ac:dyDescent="0.35">
      <c r="A5" s="43" t="s">
        <v>311</v>
      </c>
      <c r="B5" s="1" t="s">
        <v>312</v>
      </c>
      <c r="C5" s="52">
        <v>137.34</v>
      </c>
      <c r="D5" s="10" t="s">
        <v>313</v>
      </c>
      <c r="E5" s="53">
        <f>E29*C5/C29</f>
        <v>37.476957831325301</v>
      </c>
      <c r="F5" s="53">
        <f>F29+(E5-E29)</f>
        <v>50.206957831325305</v>
      </c>
      <c r="G5" s="32">
        <f>G29*C5/C29</f>
        <v>17.443283132530123</v>
      </c>
      <c r="H5" s="32">
        <f>H29*C5/C29</f>
        <v>21.570180722891568</v>
      </c>
      <c r="I5" s="32">
        <f>F5/(F29/I29)</f>
        <v>16.471995223904678</v>
      </c>
      <c r="J5" s="54">
        <f>J29</f>
        <v>0.55000000000000004</v>
      </c>
      <c r="K5" s="22" t="s">
        <v>314</v>
      </c>
    </row>
    <row r="6" spans="1:11" ht="15" customHeight="1" x14ac:dyDescent="0.35">
      <c r="A6" s="43" t="s">
        <v>315</v>
      </c>
      <c r="B6" s="1" t="s">
        <v>316</v>
      </c>
      <c r="C6" s="52">
        <v>70.91</v>
      </c>
      <c r="D6" s="10" t="s">
        <v>313</v>
      </c>
      <c r="E6" s="53">
        <f>E30*C6/C30</f>
        <v>32.22911945297237</v>
      </c>
      <c r="F6" s="53">
        <f>F30+(E6-E30)</f>
        <v>46.779119452972367</v>
      </c>
      <c r="G6" s="32">
        <f>G30*C6/C30</f>
        <v>19.127690482835611</v>
      </c>
      <c r="H6" s="32">
        <f>H30*C6/C30</f>
        <v>16.713227742115546</v>
      </c>
      <c r="I6" s="32">
        <f>F6/(F30/I30)</f>
        <v>16.003382970753705</v>
      </c>
      <c r="J6" s="54">
        <f>J30</f>
        <v>0.53</v>
      </c>
      <c r="K6" s="22" t="s">
        <v>317</v>
      </c>
    </row>
    <row r="7" spans="1:11" ht="15" customHeight="1" x14ac:dyDescent="0.35">
      <c r="A7" s="43" t="s">
        <v>318</v>
      </c>
      <c r="B7" s="1" t="s">
        <v>319</v>
      </c>
      <c r="C7" s="52">
        <v>93.65</v>
      </c>
      <c r="D7" s="10" t="s">
        <v>313</v>
      </c>
      <c r="E7" s="53">
        <f>E31*C7/C31</f>
        <v>106.7410744680851</v>
      </c>
      <c r="F7" s="53">
        <f>F31+(E7-E31)</f>
        <v>125.58107446808511</v>
      </c>
      <c r="G7" s="32">
        <f>G31*C7/C31</f>
        <v>53.868675531914903</v>
      </c>
      <c r="H7" s="32">
        <f>H31*C7/C31</f>
        <v>31.850962765957444</v>
      </c>
      <c r="I7" s="32">
        <f>F7/(F31/I31)</f>
        <v>22.289195309623615</v>
      </c>
      <c r="J7" s="54">
        <f>J31</f>
        <v>0.97</v>
      </c>
      <c r="K7" s="22" t="s">
        <v>320</v>
      </c>
    </row>
    <row r="8" spans="1:11" ht="15" customHeight="1" x14ac:dyDescent="0.35">
      <c r="A8" s="43" t="s">
        <v>321</v>
      </c>
      <c r="B8" s="1" t="s">
        <v>322</v>
      </c>
      <c r="C8" s="52">
        <v>32.01</v>
      </c>
      <c r="D8" s="10" t="s">
        <v>313</v>
      </c>
      <c r="E8" s="53">
        <f>E32*C8/C32</f>
        <v>40.504273743016761</v>
      </c>
      <c r="F8" s="53">
        <f>F32+(E8-E32)</f>
        <v>45.244273743016755</v>
      </c>
      <c r="G8" s="32">
        <f>G32*C8/C32</f>
        <v>30.122383612662944</v>
      </c>
      <c r="H8" s="32">
        <f>H32*C8/C32</f>
        <v>25.621908752327744</v>
      </c>
      <c r="I8" s="32">
        <f>F8/(F32/I32)</f>
        <v>20.161588035780706</v>
      </c>
      <c r="J8" s="54">
        <f>J32</f>
        <v>0.94</v>
      </c>
      <c r="K8" s="22" t="s">
        <v>323</v>
      </c>
    </row>
    <row r="9" spans="1:11" ht="15" customHeight="1" x14ac:dyDescent="0.35">
      <c r="A9" s="43" t="s">
        <v>324</v>
      </c>
      <c r="B9" s="1" t="s">
        <v>325</v>
      </c>
      <c r="C9" s="52">
        <v>293.02999999999997</v>
      </c>
      <c r="D9" s="10" t="s">
        <v>313</v>
      </c>
      <c r="E9" s="53">
        <f>E33*C9/C33</f>
        <v>9.6974810241878355</v>
      </c>
      <c r="F9" s="53">
        <f>F33+(E9-E33)</f>
        <v>14.647481024187835</v>
      </c>
      <c r="G9" s="32">
        <f>G33*C9/C33</f>
        <v>16.597421650979992</v>
      </c>
      <c r="H9" s="32">
        <f>H33*C9/C33</f>
        <v>14.481967074857469</v>
      </c>
      <c r="I9" s="32">
        <f>F9/(F33/I33)</f>
        <v>14.319996692346237</v>
      </c>
      <c r="J9" s="54">
        <f>J33</f>
        <v>0.95</v>
      </c>
      <c r="K9" s="22" t="s">
        <v>326</v>
      </c>
    </row>
    <row r="10" spans="1:11" ht="15" customHeight="1" x14ac:dyDescent="0.35">
      <c r="A10" s="2" t="s">
        <v>327</v>
      </c>
      <c r="E10" s="55">
        <f t="shared" ref="E10:J10" si="0">MEDIAN(E5:E9)</f>
        <v>37.476957831325301</v>
      </c>
      <c r="F10" s="55">
        <f t="shared" si="0"/>
        <v>46.779119452972367</v>
      </c>
      <c r="G10" s="56">
        <f t="shared" si="0"/>
        <v>19.127690482835611</v>
      </c>
      <c r="H10" s="56">
        <f t="shared" si="0"/>
        <v>21.570180722891568</v>
      </c>
      <c r="I10" s="56">
        <f t="shared" si="0"/>
        <v>16.471995223904678</v>
      </c>
      <c r="J10" s="57">
        <f t="shared" si="0"/>
        <v>0.94</v>
      </c>
    </row>
    <row r="11" spans="1:11" ht="15" customHeight="1" x14ac:dyDescent="0.35">
      <c r="A11" s="2" t="s">
        <v>328</v>
      </c>
      <c r="E11" s="58">
        <f t="shared" ref="E11:J11" si="1">AVERAGE(E5:E9)</f>
        <v>45.329781303917471</v>
      </c>
      <c r="F11" s="58">
        <f t="shared" si="1"/>
        <v>56.49178130391747</v>
      </c>
      <c r="G11" s="59">
        <f t="shared" si="1"/>
        <v>27.43189088218471</v>
      </c>
      <c r="H11" s="59">
        <f t="shared" si="1"/>
        <v>22.047649411629955</v>
      </c>
      <c r="I11" s="59">
        <f t="shared" si="1"/>
        <v>17.84923164648179</v>
      </c>
      <c r="J11" s="60">
        <f t="shared" si="1"/>
        <v>0.78799999999999992</v>
      </c>
    </row>
    <row r="12" spans="1:11" ht="15" customHeight="1" x14ac:dyDescent="0.35">
      <c r="A12" s="61" t="s">
        <v>329</v>
      </c>
      <c r="E12" s="58">
        <f t="shared" ref="E12:J12" si="2">MEDIAN(E5,E6,E9)</f>
        <v>32.22911945297237</v>
      </c>
      <c r="F12" s="58">
        <f t="shared" si="2"/>
        <v>46.779119452972367</v>
      </c>
      <c r="G12" s="59">
        <f t="shared" si="2"/>
        <v>17.443283132530123</v>
      </c>
      <c r="H12" s="59">
        <f t="shared" si="2"/>
        <v>16.713227742115546</v>
      </c>
      <c r="I12" s="59">
        <f t="shared" si="2"/>
        <v>16.003382970753705</v>
      </c>
      <c r="J12" s="60">
        <f t="shared" si="2"/>
        <v>0.55000000000000004</v>
      </c>
    </row>
    <row r="13" spans="1:11" ht="15" customHeight="1" x14ac:dyDescent="0.35">
      <c r="A13" s="61" t="s">
        <v>330</v>
      </c>
      <c r="B13" s="2" t="s">
        <v>331</v>
      </c>
      <c r="C13" s="62">
        <f>Market_WACC!B6</f>
        <v>237.02</v>
      </c>
      <c r="D13" s="10" t="s">
        <v>313</v>
      </c>
      <c r="E13" s="62">
        <f>Market_WACC!B9/1000</f>
        <v>167.7248328</v>
      </c>
      <c r="F13" s="53">
        <f>F24+(E13-E24)</f>
        <v>221.5048328</v>
      </c>
      <c r="G13" s="32">
        <f>G24*C13/C24</f>
        <v>19.112446166021073</v>
      </c>
      <c r="H13" s="32">
        <f>H24*C13/C24</f>
        <v>17.799452705235538</v>
      </c>
      <c r="I13" s="32">
        <f>F13/(F24/I24)</f>
        <v>14.755105546852647</v>
      </c>
      <c r="J13" s="63">
        <f>Market_WACC!B10</f>
        <v>0.41</v>
      </c>
      <c r="K13" s="33" t="s">
        <v>332</v>
      </c>
    </row>
    <row r="14" spans="1:11" ht="15" customHeight="1" x14ac:dyDescent="0.35">
      <c r="A14" s="64" t="s">
        <v>333</v>
      </c>
      <c r="G14" s="65">
        <f>G13/G10-1</f>
        <v>-7.9697634318254273E-4</v>
      </c>
      <c r="H14" s="65">
        <f>H13/H10-1</f>
        <v>-0.17481207348690908</v>
      </c>
      <c r="I14" s="65">
        <f>I13/I10-1</f>
        <v>-0.10423082654616278</v>
      </c>
    </row>
    <row r="15" spans="1:11" ht="15" customHeight="1" x14ac:dyDescent="0.35">
      <c r="A15" s="43" t="s">
        <v>334</v>
      </c>
      <c r="G15" s="21">
        <f>G13/G12-1</f>
        <v>9.5690875439504497E-2</v>
      </c>
      <c r="H15" s="21">
        <f>H13/H12-1</f>
        <v>6.4991932131865937E-2</v>
      </c>
      <c r="I15" s="21">
        <f>I13/I12-1</f>
        <v>-7.8000846832341209E-2</v>
      </c>
    </row>
    <row r="16" spans="1:11" ht="15" customHeight="1" x14ac:dyDescent="0.35">
      <c r="A16" s="66" t="s">
        <v>335</v>
      </c>
    </row>
    <row r="17" spans="1:11" ht="15" customHeight="1" x14ac:dyDescent="0.35">
      <c r="A17" s="41" t="s">
        <v>336</v>
      </c>
    </row>
    <row r="18" spans="1:11" ht="15" customHeight="1" x14ac:dyDescent="0.35">
      <c r="A18" s="41" t="s">
        <v>337</v>
      </c>
    </row>
    <row r="19" spans="1:11" ht="15" customHeight="1" x14ac:dyDescent="0.35">
      <c r="A19" s="41" t="s">
        <v>338</v>
      </c>
    </row>
    <row r="20" spans="1:11" ht="15" customHeight="1" x14ac:dyDescent="0.35">
      <c r="A20" s="41" t="s">
        <v>339</v>
      </c>
    </row>
    <row r="21" spans="1:11" ht="15" customHeight="1" x14ac:dyDescent="0.35">
      <c r="A21" s="41" t="s">
        <v>340</v>
      </c>
    </row>
    <row r="23" spans="1:11" ht="15" customHeight="1" x14ac:dyDescent="0.35">
      <c r="A23" s="13" t="s">
        <v>341</v>
      </c>
      <c r="B23" s="18"/>
      <c r="C23" s="18"/>
      <c r="D23" s="18"/>
      <c r="E23" s="18"/>
      <c r="F23" s="18"/>
      <c r="G23" s="18"/>
      <c r="H23" s="18"/>
      <c r="I23" s="18"/>
      <c r="J23" s="18"/>
      <c r="K23" s="18"/>
    </row>
    <row r="24" spans="1:11" ht="21.75" customHeight="1" x14ac:dyDescent="0.35">
      <c r="A24" s="1" t="s">
        <v>342</v>
      </c>
      <c r="B24" s="1" t="s">
        <v>331</v>
      </c>
      <c r="C24" s="67">
        <f>Market_WACC!B12</f>
        <v>240.09</v>
      </c>
      <c r="D24" s="68" t="s">
        <v>343</v>
      </c>
      <c r="E24" s="52">
        <v>169.9</v>
      </c>
      <c r="F24" s="52">
        <v>223.68</v>
      </c>
      <c r="G24" s="49">
        <v>19.36</v>
      </c>
      <c r="H24" s="49">
        <v>18.03</v>
      </c>
      <c r="I24" s="49">
        <v>14.9</v>
      </c>
      <c r="K24" s="33" t="s">
        <v>344</v>
      </c>
    </row>
    <row r="27" spans="1:11" ht="15" customHeight="1" x14ac:dyDescent="0.35">
      <c r="A27" s="13" t="s">
        <v>345</v>
      </c>
      <c r="B27" s="18"/>
      <c r="C27" s="18"/>
      <c r="D27" s="18"/>
      <c r="E27" s="18"/>
      <c r="F27" s="18"/>
      <c r="G27" s="18"/>
      <c r="H27" s="18"/>
      <c r="I27" s="18"/>
      <c r="J27" s="18"/>
      <c r="K27" s="18"/>
    </row>
    <row r="28" spans="1:11" ht="23.25" customHeight="1" x14ac:dyDescent="0.35">
      <c r="A28" s="16" t="s">
        <v>301</v>
      </c>
      <c r="B28" s="17" t="s">
        <v>302</v>
      </c>
      <c r="C28" s="17" t="s">
        <v>303</v>
      </c>
      <c r="D28" s="17" t="s">
        <v>346</v>
      </c>
      <c r="E28" s="17" t="s">
        <v>305</v>
      </c>
      <c r="F28" s="17" t="s">
        <v>306</v>
      </c>
      <c r="G28" s="17" t="s">
        <v>307</v>
      </c>
      <c r="H28" s="17" t="s">
        <v>308</v>
      </c>
      <c r="I28" s="17" t="s">
        <v>309</v>
      </c>
      <c r="J28" s="17" t="s">
        <v>310</v>
      </c>
    </row>
    <row r="29" spans="1:11" ht="63.75" customHeight="1" x14ac:dyDescent="0.35">
      <c r="A29" s="1" t="str">
        <f t="shared" ref="A29:B33" si="3">A5</f>
        <v>Yum! Brands</v>
      </c>
      <c r="B29" s="1" t="str">
        <f t="shared" si="3"/>
        <v>YUM</v>
      </c>
      <c r="C29" s="52">
        <v>139.44</v>
      </c>
      <c r="D29" s="68" t="s">
        <v>347</v>
      </c>
      <c r="E29" s="52">
        <v>38.049999999999997</v>
      </c>
      <c r="F29" s="52">
        <v>50.78</v>
      </c>
      <c r="G29" s="49">
        <v>17.71</v>
      </c>
      <c r="H29" s="49">
        <v>21.9</v>
      </c>
      <c r="I29" s="49">
        <v>16.66</v>
      </c>
      <c r="J29" s="47">
        <v>0.55000000000000004</v>
      </c>
      <c r="K29" s="33" t="s">
        <v>348</v>
      </c>
    </row>
    <row r="30" spans="1:11" ht="15" customHeight="1" x14ac:dyDescent="0.35">
      <c r="A30" s="1" t="str">
        <f t="shared" si="3"/>
        <v>Restaurant Brands Intl.</v>
      </c>
      <c r="B30" s="1" t="str">
        <f t="shared" si="3"/>
        <v>QSR</v>
      </c>
      <c r="C30" s="52">
        <v>71.66</v>
      </c>
      <c r="D30" s="68" t="s">
        <v>349</v>
      </c>
      <c r="E30" s="52">
        <v>32.57</v>
      </c>
      <c r="F30" s="52">
        <v>47.12</v>
      </c>
      <c r="G30" s="49">
        <v>19.329999999999998</v>
      </c>
      <c r="H30" s="49">
        <v>16.89</v>
      </c>
      <c r="I30" s="49">
        <v>16.12</v>
      </c>
      <c r="J30" s="47">
        <v>0.53</v>
      </c>
    </row>
    <row r="31" spans="1:11" ht="15" customHeight="1" x14ac:dyDescent="0.35">
      <c r="A31" s="1" t="str">
        <f t="shared" si="3"/>
        <v>Starbucks</v>
      </c>
      <c r="B31" s="1" t="str">
        <f t="shared" si="3"/>
        <v>SBUX</v>
      </c>
      <c r="C31" s="52">
        <v>94</v>
      </c>
      <c r="D31" s="68" t="s">
        <v>350</v>
      </c>
      <c r="E31" s="52">
        <v>107.14</v>
      </c>
      <c r="F31" s="52">
        <v>125.98</v>
      </c>
      <c r="G31" s="49">
        <v>54.07</v>
      </c>
      <c r="H31" s="49">
        <v>31.97</v>
      </c>
      <c r="I31" s="49">
        <v>22.36</v>
      </c>
      <c r="J31" s="47">
        <v>0.97</v>
      </c>
    </row>
    <row r="32" spans="1:11" ht="15" customHeight="1" x14ac:dyDescent="0.35">
      <c r="A32" s="1" t="str">
        <f t="shared" si="3"/>
        <v>Chipotle Mexican Grill</v>
      </c>
      <c r="B32" s="1" t="str">
        <f t="shared" si="3"/>
        <v>CMG</v>
      </c>
      <c r="C32" s="52">
        <v>32.22</v>
      </c>
      <c r="D32" s="68" t="s">
        <v>350</v>
      </c>
      <c r="E32" s="52">
        <v>40.770000000000003</v>
      </c>
      <c r="F32" s="52">
        <v>45.51</v>
      </c>
      <c r="G32" s="49">
        <v>30.32</v>
      </c>
      <c r="H32" s="49">
        <v>25.79</v>
      </c>
      <c r="I32" s="49">
        <v>20.28</v>
      </c>
      <c r="J32" s="47">
        <v>0.94</v>
      </c>
    </row>
    <row r="33" spans="1:10" ht="15" customHeight="1" x14ac:dyDescent="0.35">
      <c r="A33" s="1" t="str">
        <f t="shared" si="3"/>
        <v>Domino's Pizza</v>
      </c>
      <c r="B33" s="1" t="str">
        <f t="shared" si="3"/>
        <v>DPZ</v>
      </c>
      <c r="C33" s="52">
        <v>296.43</v>
      </c>
      <c r="D33" s="68" t="s">
        <v>349</v>
      </c>
      <c r="E33" s="52">
        <v>9.81</v>
      </c>
      <c r="F33" s="52">
        <v>14.76</v>
      </c>
      <c r="G33" s="49">
        <v>16.79</v>
      </c>
      <c r="H33" s="49">
        <v>14.65</v>
      </c>
      <c r="I33" s="49">
        <v>14.43</v>
      </c>
      <c r="J33" s="47">
        <v>0.95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Normal="100" workbookViewId="0">
      <pane xSplit="2" ySplit="4" topLeftCell="C5" activePane="bottomRight" state="frozen"/>
      <selection pane="topRight"/>
      <selection pane="bottomLeft"/>
      <selection pane="bottomRight"/>
    </sheetView>
  </sheetViews>
  <sheetFormatPr defaultColWidth="8.6328125" defaultRowHeight="14.5" x14ac:dyDescent="0.35"/>
  <cols>
    <col min="1" max="1" width="48" customWidth="1"/>
    <col min="2" max="2" width="7" customWidth="1"/>
    <col min="3" max="8" width="11" customWidth="1"/>
    <col min="9" max="9" width="60" customWidth="1"/>
  </cols>
  <sheetData>
    <row r="1" spans="1:9" ht="17.25" customHeight="1" x14ac:dyDescent="0.4">
      <c r="A1" s="5" t="s">
        <v>45</v>
      </c>
    </row>
    <row r="2" spans="1:9" ht="15" customHeight="1" x14ac:dyDescent="0.35">
      <c r="A2" s="15" t="s">
        <v>46</v>
      </c>
    </row>
    <row r="4" spans="1:9" ht="30" customHeight="1" x14ac:dyDescent="0.35">
      <c r="A4" s="16" t="s">
        <v>47</v>
      </c>
      <c r="B4" s="17" t="s">
        <v>48</v>
      </c>
      <c r="C4" s="17" t="s">
        <v>49</v>
      </c>
      <c r="D4" s="17" t="s">
        <v>50</v>
      </c>
      <c r="E4" s="17" t="s">
        <v>51</v>
      </c>
      <c r="F4" s="17" t="s">
        <v>52</v>
      </c>
      <c r="G4" s="17" t="s">
        <v>53</v>
      </c>
      <c r="H4" s="17" t="s">
        <v>54</v>
      </c>
      <c r="I4" s="16" t="s">
        <v>55</v>
      </c>
    </row>
    <row r="5" spans="1:9" ht="15" customHeight="1" x14ac:dyDescent="0.35">
      <c r="A5" s="13" t="s">
        <v>56</v>
      </c>
      <c r="B5" s="18"/>
      <c r="C5" s="18"/>
      <c r="D5" s="18"/>
      <c r="E5" s="18"/>
      <c r="F5" s="18"/>
      <c r="G5" s="18"/>
      <c r="H5" s="18"/>
      <c r="I5" s="18"/>
    </row>
    <row r="6" spans="1:9" ht="15" customHeight="1" x14ac:dyDescent="0.35">
      <c r="A6" s="1" t="s">
        <v>57</v>
      </c>
      <c r="B6" s="19" t="s">
        <v>58</v>
      </c>
      <c r="C6" s="20">
        <v>13085</v>
      </c>
      <c r="D6" s="20">
        <v>14106</v>
      </c>
      <c r="E6" s="20">
        <v>15437</v>
      </c>
      <c r="F6" s="20">
        <v>15715</v>
      </c>
      <c r="G6" s="20">
        <v>16548</v>
      </c>
      <c r="H6" s="21">
        <f>IFERROR((G6/C6)^(1/4)-1,"")</f>
        <v>6.0456714594522953E-2</v>
      </c>
      <c r="I6" s="22" t="s">
        <v>59</v>
      </c>
    </row>
    <row r="7" spans="1:9" ht="15" customHeight="1" x14ac:dyDescent="0.35">
      <c r="A7" s="1" t="s">
        <v>60</v>
      </c>
      <c r="B7" s="19" t="s">
        <v>58</v>
      </c>
      <c r="C7" s="20">
        <v>9787</v>
      </c>
      <c r="D7" s="20">
        <v>8748</v>
      </c>
      <c r="E7" s="20">
        <v>9742</v>
      </c>
      <c r="F7" s="20">
        <v>9782</v>
      </c>
      <c r="G7" s="20">
        <v>9690</v>
      </c>
      <c r="H7" s="21">
        <f>IFERROR((G7/C7)^(1/4)-1,"")</f>
        <v>-2.487039315641093E-3</v>
      </c>
      <c r="I7" s="22" t="s">
        <v>61</v>
      </c>
    </row>
    <row r="8" spans="1:9" ht="15" customHeight="1" x14ac:dyDescent="0.35">
      <c r="A8" s="1" t="s">
        <v>62</v>
      </c>
      <c r="B8" s="19" t="s">
        <v>58</v>
      </c>
      <c r="C8" s="20">
        <v>351</v>
      </c>
      <c r="D8" s="20">
        <v>329</v>
      </c>
      <c r="E8" s="20">
        <v>316</v>
      </c>
      <c r="F8" s="20">
        <v>423</v>
      </c>
      <c r="G8" s="20">
        <v>647</v>
      </c>
      <c r="H8" s="21">
        <f>IFERROR((G8/C8)^(1/4)-1,"")</f>
        <v>0.1651968209374608</v>
      </c>
      <c r="I8" s="22" t="s">
        <v>61</v>
      </c>
    </row>
    <row r="9" spans="1:9" ht="15" customHeight="1" x14ac:dyDescent="0.35">
      <c r="A9" s="2" t="s">
        <v>63</v>
      </c>
      <c r="B9" s="19" t="s">
        <v>58</v>
      </c>
      <c r="C9" s="23">
        <f>SUM(C6:C8)</f>
        <v>23223</v>
      </c>
      <c r="D9" s="23">
        <f>SUM(D6:D8)</f>
        <v>23183</v>
      </c>
      <c r="E9" s="23">
        <f>SUM(E6:E8)</f>
        <v>25495</v>
      </c>
      <c r="F9" s="23">
        <f>SUM(F6:F8)</f>
        <v>25920</v>
      </c>
      <c r="G9" s="23">
        <f>SUM(G6:G8)</f>
        <v>26885</v>
      </c>
      <c r="H9" s="21">
        <f>IFERROR((G9/C9)^(1/4)-1,"")</f>
        <v>3.728459868546885E-2</v>
      </c>
      <c r="I9" s="22" t="s">
        <v>64</v>
      </c>
    </row>
    <row r="10" spans="1:9" ht="15" customHeight="1" x14ac:dyDescent="0.35">
      <c r="A10" s="1" t="s">
        <v>65</v>
      </c>
      <c r="B10" s="19" t="s">
        <v>66</v>
      </c>
      <c r="C10" s="21">
        <f>C6/C9</f>
        <v>0.56345002798949317</v>
      </c>
      <c r="D10" s="21">
        <f>D6/D9</f>
        <v>0.60846309795971187</v>
      </c>
      <c r="E10" s="21">
        <f>E6/E9</f>
        <v>0.60549127279858794</v>
      </c>
      <c r="F10" s="21">
        <f>F6/F9</f>
        <v>0.60628858024691357</v>
      </c>
      <c r="G10" s="21">
        <f>G6/G9</f>
        <v>0.61551050771805838</v>
      </c>
      <c r="I10" s="22" t="s">
        <v>64</v>
      </c>
    </row>
    <row r="11" spans="1:9" ht="15" customHeight="1" x14ac:dyDescent="0.35">
      <c r="A11" s="1" t="s">
        <v>67</v>
      </c>
      <c r="B11" s="19" t="s">
        <v>66</v>
      </c>
      <c r="C11" s="21">
        <f>C7/C9</f>
        <v>0.42143564569607717</v>
      </c>
      <c r="D11" s="21">
        <f>D7/D9</f>
        <v>0.37734546866238194</v>
      </c>
      <c r="E11" s="21">
        <f>E7/E9</f>
        <v>0.38211414002745636</v>
      </c>
      <c r="F11" s="21">
        <f>F7/F9</f>
        <v>0.37739197530864199</v>
      </c>
      <c r="G11" s="21">
        <f>G7/G9</f>
        <v>0.36042402826855124</v>
      </c>
      <c r="I11" s="22" t="s">
        <v>64</v>
      </c>
    </row>
    <row r="12" spans="1:9" ht="15" customHeight="1" x14ac:dyDescent="0.35">
      <c r="A12" s="1" t="s">
        <v>68</v>
      </c>
      <c r="B12" s="19" t="s">
        <v>66</v>
      </c>
      <c r="C12" s="24"/>
      <c r="D12" s="21">
        <f>D9/C9-1</f>
        <v>-1.7224303492227033E-3</v>
      </c>
      <c r="E12" s="21">
        <f>E9/D9-1</f>
        <v>9.9728249148082648E-2</v>
      </c>
      <c r="F12" s="21">
        <f>F9/E9-1</f>
        <v>1.6669935281427684E-2</v>
      </c>
      <c r="G12" s="21">
        <f>G9/F9-1</f>
        <v>3.7229938271605034E-2</v>
      </c>
      <c r="I12" s="22" t="s">
        <v>64</v>
      </c>
    </row>
    <row r="14" spans="1:9" ht="15" customHeight="1" x14ac:dyDescent="0.35">
      <c r="A14" s="13" t="s">
        <v>69</v>
      </c>
      <c r="B14" s="18"/>
      <c r="C14" s="18"/>
      <c r="D14" s="18"/>
      <c r="E14" s="18"/>
      <c r="F14" s="18"/>
      <c r="G14" s="18"/>
      <c r="H14" s="18"/>
      <c r="I14" s="18"/>
    </row>
    <row r="15" spans="1:9" ht="15" customHeight="1" x14ac:dyDescent="0.35">
      <c r="A15" s="1" t="s">
        <v>70</v>
      </c>
      <c r="B15" s="19" t="s">
        <v>58</v>
      </c>
      <c r="C15" s="20">
        <v>10356</v>
      </c>
      <c r="D15" s="20">
        <v>9371</v>
      </c>
      <c r="E15" s="20">
        <v>11647</v>
      </c>
      <c r="F15" s="20">
        <v>11712</v>
      </c>
      <c r="G15" s="20">
        <v>12393</v>
      </c>
      <c r="H15" s="21">
        <f>IFERROR((G15/C15)^(1/4)-1,"")</f>
        <v>4.5914302801502105E-2</v>
      </c>
      <c r="I15" s="22" t="s">
        <v>61</v>
      </c>
    </row>
    <row r="16" spans="1:9" ht="15" customHeight="1" x14ac:dyDescent="0.35">
      <c r="A16" s="1" t="s">
        <v>71</v>
      </c>
      <c r="B16" s="19" t="s">
        <v>58</v>
      </c>
      <c r="C16" s="20">
        <v>10071</v>
      </c>
      <c r="D16" s="20">
        <v>10381</v>
      </c>
      <c r="E16" s="25"/>
      <c r="F16" s="20">
        <v>12003</v>
      </c>
      <c r="G16" s="20">
        <v>12621</v>
      </c>
      <c r="I16" s="22" t="s">
        <v>72</v>
      </c>
    </row>
    <row r="17" spans="1:9" ht="15" customHeight="1" x14ac:dyDescent="0.35">
      <c r="A17" s="1" t="s">
        <v>73</v>
      </c>
      <c r="B17" s="19" t="s">
        <v>66</v>
      </c>
      <c r="C17" s="21">
        <f>C15/C9</f>
        <v>0.44593721741377085</v>
      </c>
      <c r="D17" s="21">
        <f>D15/D9</f>
        <v>0.40421860846309798</v>
      </c>
      <c r="E17" s="21">
        <f>E15/E9</f>
        <v>0.45683467346538537</v>
      </c>
      <c r="F17" s="21">
        <f>F15/F9</f>
        <v>0.45185185185185184</v>
      </c>
      <c r="G17" s="21">
        <f>G15/G9</f>
        <v>0.4609633624697787</v>
      </c>
      <c r="I17" s="22" t="s">
        <v>64</v>
      </c>
    </row>
    <row r="18" spans="1:9" ht="15" customHeight="1" x14ac:dyDescent="0.35">
      <c r="A18" s="1" t="s">
        <v>74</v>
      </c>
      <c r="B18" s="19" t="s">
        <v>58</v>
      </c>
      <c r="C18" s="20">
        <v>7545</v>
      </c>
      <c r="D18" s="20">
        <v>6177</v>
      </c>
      <c r="E18" s="20">
        <v>8469</v>
      </c>
      <c r="F18" s="20">
        <v>8223</v>
      </c>
      <c r="G18" s="20">
        <v>8563</v>
      </c>
      <c r="H18" s="21">
        <f>IFERROR((G18/C18)^(1/4)-1,"")</f>
        <v>3.2147286090651539E-2</v>
      </c>
      <c r="I18" s="22" t="s">
        <v>61</v>
      </c>
    </row>
    <row r="19" spans="1:9" ht="15" customHeight="1" x14ac:dyDescent="0.35">
      <c r="A19" s="1" t="s">
        <v>75</v>
      </c>
      <c r="B19" s="19" t="s">
        <v>76</v>
      </c>
      <c r="C19" s="26">
        <v>10.039999999999999</v>
      </c>
      <c r="D19" s="26">
        <v>8.33</v>
      </c>
      <c r="E19" s="26">
        <v>11.56</v>
      </c>
      <c r="F19" s="26">
        <v>11.39</v>
      </c>
      <c r="G19" s="26">
        <v>11.95</v>
      </c>
      <c r="H19" s="21">
        <f>IFERROR((G19/C19)^(1/4)-1,"")</f>
        <v>4.4500249650153645E-2</v>
      </c>
      <c r="I19" s="22" t="s">
        <v>61</v>
      </c>
    </row>
    <row r="20" spans="1:9" ht="15" customHeight="1" x14ac:dyDescent="0.35">
      <c r="A20" s="1" t="s">
        <v>77</v>
      </c>
      <c r="B20" s="19" t="s">
        <v>76</v>
      </c>
      <c r="C20" s="26">
        <v>9.2799999999999994</v>
      </c>
      <c r="D20" s="26">
        <v>10.1</v>
      </c>
      <c r="E20" s="27"/>
      <c r="F20" s="26">
        <v>11.72</v>
      </c>
      <c r="G20" s="26">
        <v>12.2</v>
      </c>
      <c r="I20" s="22" t="s">
        <v>78</v>
      </c>
    </row>
    <row r="21" spans="1:9" ht="15" customHeight="1" x14ac:dyDescent="0.35">
      <c r="A21" s="1" t="s">
        <v>79</v>
      </c>
      <c r="B21" s="19" t="s">
        <v>66</v>
      </c>
      <c r="C21" s="24"/>
      <c r="D21" s="21">
        <f>D19/C19-1</f>
        <v>-0.17031872509960155</v>
      </c>
      <c r="E21" s="21">
        <f>E19/D19-1</f>
        <v>0.38775510204081631</v>
      </c>
      <c r="F21" s="21">
        <f>F19/E19-1</f>
        <v>-1.4705882352941124E-2</v>
      </c>
      <c r="G21" s="21">
        <f>G19/F19-1</f>
        <v>4.9165935030728525E-2</v>
      </c>
      <c r="I21" s="22" t="s">
        <v>64</v>
      </c>
    </row>
    <row r="22" spans="1:9" ht="15" customHeight="1" x14ac:dyDescent="0.35">
      <c r="A22" s="1" t="s">
        <v>80</v>
      </c>
      <c r="B22" s="19" t="s">
        <v>58</v>
      </c>
      <c r="C22" s="20">
        <v>1868.1</v>
      </c>
      <c r="D22" s="20">
        <v>1870.6</v>
      </c>
      <c r="E22" s="20">
        <v>1978</v>
      </c>
      <c r="F22" s="20">
        <v>2097</v>
      </c>
      <c r="G22" s="20">
        <v>2199</v>
      </c>
      <c r="H22" s="21">
        <f>IFERROR((G22/C22)^(1/4)-1,"")</f>
        <v>4.1612725856876143E-2</v>
      </c>
      <c r="I22" s="22" t="s">
        <v>81</v>
      </c>
    </row>
    <row r="23" spans="1:9" ht="15" customHeight="1" x14ac:dyDescent="0.35">
      <c r="A23" s="1" t="s">
        <v>82</v>
      </c>
      <c r="B23" s="19" t="s">
        <v>58</v>
      </c>
      <c r="C23" s="28">
        <f>C15+C22</f>
        <v>12224.1</v>
      </c>
      <c r="D23" s="28">
        <f>D15+D22</f>
        <v>11241.6</v>
      </c>
      <c r="E23" s="28">
        <f>E15+E22</f>
        <v>13625</v>
      </c>
      <c r="F23" s="28">
        <f>F15+F22</f>
        <v>13809</v>
      </c>
      <c r="G23" s="28">
        <f>G15+G22</f>
        <v>14592</v>
      </c>
      <c r="H23" s="21">
        <f>IFERROR((G23/C23)^(1/4)-1,"")</f>
        <v>4.526036247560139E-2</v>
      </c>
      <c r="I23" s="22" t="s">
        <v>64</v>
      </c>
    </row>
    <row r="25" spans="1:9" ht="15" customHeight="1" x14ac:dyDescent="0.35">
      <c r="A25" s="13" t="s">
        <v>83</v>
      </c>
      <c r="B25" s="18"/>
      <c r="C25" s="18"/>
      <c r="D25" s="18"/>
      <c r="E25" s="18"/>
      <c r="F25" s="18"/>
      <c r="G25" s="18"/>
      <c r="H25" s="18"/>
      <c r="I25" s="18"/>
    </row>
    <row r="26" spans="1:9" ht="15" customHeight="1" x14ac:dyDescent="0.35">
      <c r="A26" s="1" t="s">
        <v>84</v>
      </c>
      <c r="B26" s="19" t="s">
        <v>85</v>
      </c>
      <c r="C26" s="29">
        <v>751.8</v>
      </c>
      <c r="D26" s="29">
        <v>741.3</v>
      </c>
      <c r="E26" s="29">
        <v>732.3</v>
      </c>
      <c r="F26" s="29">
        <v>721.9</v>
      </c>
      <c r="G26" s="29">
        <v>716.4</v>
      </c>
      <c r="H26" s="21">
        <f>IFERROR((G26/C26)^(1/4)-1,"")</f>
        <v>-1.1985509887335932E-2</v>
      </c>
      <c r="I26" s="22" t="s">
        <v>61</v>
      </c>
    </row>
    <row r="27" spans="1:9" ht="15" customHeight="1" x14ac:dyDescent="0.35">
      <c r="A27" s="1" t="s">
        <v>86</v>
      </c>
      <c r="B27" s="19" t="s">
        <v>85</v>
      </c>
      <c r="C27" s="29">
        <v>745</v>
      </c>
      <c r="D27" s="29">
        <v>731</v>
      </c>
      <c r="E27" s="29">
        <v>723</v>
      </c>
      <c r="F27" s="29">
        <v>715</v>
      </c>
      <c r="G27" s="29">
        <v>711</v>
      </c>
      <c r="H27" s="21">
        <f>IFERROR((G27/C27)^(1/4)-1,"")</f>
        <v>-1.1610024575155253E-2</v>
      </c>
      <c r="I27" s="22" t="s">
        <v>87</v>
      </c>
    </row>
    <row r="28" spans="1:9" ht="15" customHeight="1" x14ac:dyDescent="0.35">
      <c r="A28" s="1" t="s">
        <v>88</v>
      </c>
      <c r="B28" s="19" t="s">
        <v>66</v>
      </c>
      <c r="C28" s="24"/>
      <c r="D28" s="21">
        <f>D27/C27-1</f>
        <v>-1.8791946308724827E-2</v>
      </c>
      <c r="E28" s="21">
        <f>E27/D27-1</f>
        <v>-1.094391244870041E-2</v>
      </c>
      <c r="F28" s="21">
        <f>F27/E27-1</f>
        <v>-1.1065006915629283E-2</v>
      </c>
      <c r="G28" s="21">
        <f>G27/F27-1</f>
        <v>-5.5944055944056048E-3</v>
      </c>
      <c r="I28" s="22" t="s">
        <v>64</v>
      </c>
    </row>
    <row r="30" spans="1:9" ht="15" customHeight="1" x14ac:dyDescent="0.35">
      <c r="A30" s="13" t="s">
        <v>89</v>
      </c>
      <c r="B30" s="18"/>
      <c r="C30" s="18"/>
      <c r="D30" s="18"/>
      <c r="E30" s="18"/>
      <c r="F30" s="18"/>
      <c r="G30" s="18"/>
      <c r="H30" s="18"/>
      <c r="I30" s="18"/>
    </row>
    <row r="31" spans="1:9" ht="15" customHeight="1" x14ac:dyDescent="0.35">
      <c r="A31" s="1" t="s">
        <v>90</v>
      </c>
      <c r="B31" s="19" t="s">
        <v>58</v>
      </c>
      <c r="C31" s="20">
        <v>9141.5</v>
      </c>
      <c r="D31" s="20">
        <v>7386.6</v>
      </c>
      <c r="E31" s="20">
        <v>9612</v>
      </c>
      <c r="F31" s="20">
        <v>9447</v>
      </c>
      <c r="G31" s="20">
        <v>10551</v>
      </c>
      <c r="H31" s="21">
        <f>IFERROR((G31/C31)^(1/4)-1,"")</f>
        <v>3.6499363796169693E-2</v>
      </c>
      <c r="I31" s="22" t="s">
        <v>91</v>
      </c>
    </row>
    <row r="32" spans="1:9" ht="15" customHeight="1" x14ac:dyDescent="0.35">
      <c r="A32" s="1" t="s">
        <v>92</v>
      </c>
      <c r="B32" s="19" t="s">
        <v>58</v>
      </c>
      <c r="C32" s="20">
        <v>2040</v>
      </c>
      <c r="D32" s="20">
        <v>1899.2</v>
      </c>
      <c r="E32" s="20">
        <v>2357</v>
      </c>
      <c r="F32" s="20">
        <v>2775</v>
      </c>
      <c r="G32" s="20">
        <v>3365</v>
      </c>
      <c r="H32" s="21">
        <f>IFERROR((G32/C32)^(1/4)-1,"")</f>
        <v>0.13328391638102</v>
      </c>
      <c r="I32" s="22" t="s">
        <v>91</v>
      </c>
    </row>
    <row r="33" spans="1:9" ht="15" customHeight="1" x14ac:dyDescent="0.35">
      <c r="A33" s="2" t="s">
        <v>93</v>
      </c>
      <c r="B33" s="19" t="s">
        <v>58</v>
      </c>
      <c r="C33" s="30">
        <f>C31-C32</f>
        <v>7101.5</v>
      </c>
      <c r="D33" s="30">
        <f>D31-D32</f>
        <v>5487.4000000000005</v>
      </c>
      <c r="E33" s="30">
        <f>E31-E32</f>
        <v>7255</v>
      </c>
      <c r="F33" s="30">
        <f>F31-F32</f>
        <v>6672</v>
      </c>
      <c r="G33" s="30">
        <f>G31-G32</f>
        <v>7186</v>
      </c>
      <c r="H33" s="21">
        <f>IFERROR((G33/C33)^(1/4)-1,"")</f>
        <v>2.9615415631791819E-3</v>
      </c>
      <c r="I33" s="22" t="s">
        <v>64</v>
      </c>
    </row>
    <row r="34" spans="1:9" ht="15" customHeight="1" x14ac:dyDescent="0.35">
      <c r="A34" s="1" t="s">
        <v>94</v>
      </c>
      <c r="B34" s="19" t="s">
        <v>66</v>
      </c>
      <c r="C34" s="21">
        <f>C33/C18</f>
        <v>0.94121935056328698</v>
      </c>
      <c r="D34" s="21">
        <f>D33/D18</f>
        <v>0.88836004532944801</v>
      </c>
      <c r="E34" s="21">
        <f>E33/E18</f>
        <v>0.8566536781202031</v>
      </c>
      <c r="F34" s="21">
        <f>F33/F18</f>
        <v>0.81138270704122584</v>
      </c>
      <c r="G34" s="21">
        <f>G33/G18</f>
        <v>0.83919187200747403</v>
      </c>
      <c r="I34" s="22" t="s">
        <v>64</v>
      </c>
    </row>
    <row r="35" spans="1:9" ht="15" customHeight="1" x14ac:dyDescent="0.35">
      <c r="A35" s="1" t="s">
        <v>95</v>
      </c>
      <c r="B35" s="19" t="s">
        <v>66</v>
      </c>
      <c r="C35" s="21">
        <f>C32/C9</f>
        <v>8.7843947810360423E-2</v>
      </c>
      <c r="D35" s="21">
        <f>D32/D9</f>
        <v>8.1922098089117032E-2</v>
      </c>
      <c r="E35" s="21">
        <f>E32/E9</f>
        <v>9.2449499901941554E-2</v>
      </c>
      <c r="F35" s="21">
        <f>F32/F9</f>
        <v>0.10706018518518519</v>
      </c>
      <c r="G35" s="21">
        <f>G32/G9</f>
        <v>0.12516273014692209</v>
      </c>
      <c r="I35" s="22" t="s">
        <v>64</v>
      </c>
    </row>
    <row r="36" spans="1:9" ht="15" customHeight="1" x14ac:dyDescent="0.35">
      <c r="A36" s="1" t="s">
        <v>96</v>
      </c>
      <c r="B36" s="19" t="s">
        <v>58</v>
      </c>
      <c r="C36" s="20">
        <v>3918.6</v>
      </c>
      <c r="D36" s="20">
        <v>4168.2</v>
      </c>
      <c r="E36" s="20">
        <v>4533</v>
      </c>
      <c r="F36" s="20">
        <v>4870</v>
      </c>
      <c r="G36" s="20">
        <v>5115</v>
      </c>
      <c r="H36" s="21">
        <f>IFERROR((G36/C36)^(1/4)-1,"")</f>
        <v>6.8879323146666005E-2</v>
      </c>
      <c r="I36" s="22" t="s">
        <v>81</v>
      </c>
    </row>
    <row r="37" spans="1:9" ht="15" customHeight="1" x14ac:dyDescent="0.35">
      <c r="A37" s="1" t="s">
        <v>97</v>
      </c>
      <c r="B37" s="19" t="s">
        <v>58</v>
      </c>
      <c r="C37" s="20">
        <v>845.5</v>
      </c>
      <c r="D37" s="20">
        <v>3896</v>
      </c>
      <c r="E37" s="20">
        <v>3054</v>
      </c>
      <c r="F37" s="20">
        <v>2824</v>
      </c>
      <c r="G37" s="20">
        <v>2056</v>
      </c>
      <c r="I37" s="22" t="s">
        <v>81</v>
      </c>
    </row>
    <row r="38" spans="1:9" ht="15" customHeight="1" x14ac:dyDescent="0.35">
      <c r="A38" s="1" t="s">
        <v>98</v>
      </c>
      <c r="B38" s="19" t="s">
        <v>58</v>
      </c>
      <c r="C38" s="28">
        <f>C36+C37</f>
        <v>4764.1000000000004</v>
      </c>
      <c r="D38" s="28">
        <f>D36+D37</f>
        <v>8064.2</v>
      </c>
      <c r="E38" s="28">
        <f>E36+E37</f>
        <v>7587</v>
      </c>
      <c r="F38" s="28">
        <f>F36+F37</f>
        <v>7694</v>
      </c>
      <c r="G38" s="28">
        <f>G36+G37</f>
        <v>7171</v>
      </c>
      <c r="I38" s="22" t="s">
        <v>64</v>
      </c>
    </row>
    <row r="39" spans="1:9" ht="15" customHeight="1" x14ac:dyDescent="0.35">
      <c r="A39" s="1" t="s">
        <v>99</v>
      </c>
      <c r="B39" s="19" t="s">
        <v>66</v>
      </c>
      <c r="C39" s="21">
        <f>C38/C33</f>
        <v>0.6708582693797086</v>
      </c>
      <c r="D39" s="21">
        <f>D38/D33</f>
        <v>1.4695848671501985</v>
      </c>
      <c r="E39" s="21">
        <f>E38/E33</f>
        <v>1.0457615437629222</v>
      </c>
      <c r="F39" s="21">
        <f>F38/F33</f>
        <v>1.1531774580335732</v>
      </c>
      <c r="G39" s="21">
        <f>G38/G33</f>
        <v>0.99791260784859448</v>
      </c>
      <c r="I39" s="22" t="s">
        <v>64</v>
      </c>
    </row>
    <row r="40" spans="1:9" ht="15" customHeight="1" x14ac:dyDescent="0.35">
      <c r="A40" s="1" t="s">
        <v>100</v>
      </c>
      <c r="B40" s="19" t="s">
        <v>76</v>
      </c>
      <c r="C40" s="26">
        <v>5.25</v>
      </c>
      <c r="D40" s="26">
        <v>5.66</v>
      </c>
      <c r="E40" s="26">
        <v>6.23</v>
      </c>
      <c r="F40" s="26">
        <v>6.78</v>
      </c>
      <c r="G40" s="26">
        <v>7.17</v>
      </c>
      <c r="H40" s="21">
        <f>IFERROR((G40/C40)^(1/4)-1,"")</f>
        <v>8.1035517751846697E-2</v>
      </c>
      <c r="I40" s="22" t="s">
        <v>101</v>
      </c>
    </row>
    <row r="41" spans="1:9" ht="15" customHeight="1" x14ac:dyDescent="0.35">
      <c r="A41" s="1" t="s">
        <v>102</v>
      </c>
      <c r="B41" s="19" t="s">
        <v>66</v>
      </c>
      <c r="C41" s="21">
        <f>C36/C18</f>
        <v>0.51936381709741553</v>
      </c>
      <c r="D41" s="21">
        <f>D36/D18</f>
        <v>0.67479358912093246</v>
      </c>
      <c r="E41" s="21">
        <f>E36/E18</f>
        <v>0.53524619199433232</v>
      </c>
      <c r="F41" s="21">
        <f>F36/F18</f>
        <v>0.59224127447403629</v>
      </c>
      <c r="G41" s="21">
        <f>G36/G18</f>
        <v>0.59733738175872941</v>
      </c>
      <c r="I41" s="22" t="s">
        <v>64</v>
      </c>
    </row>
    <row r="43" spans="1:9" ht="15" customHeight="1" x14ac:dyDescent="0.35">
      <c r="A43" s="13" t="s">
        <v>103</v>
      </c>
      <c r="B43" s="18"/>
      <c r="C43" s="18"/>
      <c r="D43" s="18"/>
      <c r="E43" s="18"/>
      <c r="F43" s="18"/>
      <c r="G43" s="18"/>
      <c r="H43" s="18"/>
      <c r="I43" s="18"/>
    </row>
    <row r="44" spans="1:9" ht="15" customHeight="1" x14ac:dyDescent="0.35">
      <c r="A44" s="1" t="s">
        <v>104</v>
      </c>
      <c r="B44" s="19" t="s">
        <v>58</v>
      </c>
      <c r="C44" s="20">
        <v>4709.2</v>
      </c>
      <c r="D44" s="20">
        <v>2583.8000000000002</v>
      </c>
      <c r="E44" s="20">
        <v>4579.3</v>
      </c>
      <c r="F44" s="20">
        <v>1085</v>
      </c>
      <c r="G44" s="20">
        <v>774</v>
      </c>
      <c r="I44" s="22" t="s">
        <v>105</v>
      </c>
    </row>
    <row r="45" spans="1:9" ht="15" customHeight="1" x14ac:dyDescent="0.35">
      <c r="A45" s="1" t="s">
        <v>106</v>
      </c>
      <c r="B45" s="19" t="s">
        <v>58</v>
      </c>
      <c r="C45" s="20">
        <v>35622.699999999997</v>
      </c>
      <c r="D45" s="20">
        <v>35903.5</v>
      </c>
      <c r="E45" s="20">
        <v>39345.300000000003</v>
      </c>
      <c r="F45" s="20">
        <v>38424</v>
      </c>
      <c r="G45" s="20">
        <v>39973</v>
      </c>
      <c r="I45" s="22" t="s">
        <v>107</v>
      </c>
    </row>
    <row r="46" spans="1:9" ht="15" customHeight="1" x14ac:dyDescent="0.35">
      <c r="A46" s="2" t="s">
        <v>108</v>
      </c>
      <c r="B46" s="19" t="s">
        <v>58</v>
      </c>
      <c r="C46" s="30">
        <f>C45-C44</f>
        <v>30913.499999999996</v>
      </c>
      <c r="D46" s="30">
        <f>D45-D44</f>
        <v>33319.699999999997</v>
      </c>
      <c r="E46" s="30">
        <f>E45-E44</f>
        <v>34766</v>
      </c>
      <c r="F46" s="30">
        <f>F45-F44</f>
        <v>37339</v>
      </c>
      <c r="G46" s="30">
        <f>G45-G44</f>
        <v>39199</v>
      </c>
      <c r="I46" s="22" t="s">
        <v>64</v>
      </c>
    </row>
    <row r="47" spans="1:9" ht="15" customHeight="1" x14ac:dyDescent="0.35">
      <c r="A47" s="1" t="s">
        <v>109</v>
      </c>
      <c r="B47" s="19" t="s">
        <v>58</v>
      </c>
      <c r="C47" s="25"/>
      <c r="D47" s="25"/>
      <c r="E47" s="25"/>
      <c r="F47" s="20">
        <v>13524</v>
      </c>
      <c r="G47" s="20">
        <v>14841</v>
      </c>
      <c r="I47" s="22" t="s">
        <v>110</v>
      </c>
    </row>
    <row r="48" spans="1:9" ht="15" customHeight="1" x14ac:dyDescent="0.35">
      <c r="A48" s="1" t="s">
        <v>111</v>
      </c>
      <c r="B48" s="19" t="s">
        <v>58</v>
      </c>
      <c r="C48" s="31"/>
      <c r="D48" s="31"/>
      <c r="E48" s="31"/>
      <c r="F48" s="28">
        <f>F46+F47</f>
        <v>50863</v>
      </c>
      <c r="G48" s="28">
        <f>G46+G47</f>
        <v>54040</v>
      </c>
      <c r="I48" s="22" t="s">
        <v>64</v>
      </c>
    </row>
    <row r="49" spans="1:9" ht="15" customHeight="1" x14ac:dyDescent="0.35">
      <c r="A49" s="1" t="s">
        <v>112</v>
      </c>
      <c r="B49" s="19" t="s">
        <v>113</v>
      </c>
      <c r="C49" s="32">
        <f>C46/C23</f>
        <v>2.5288978329692982</v>
      </c>
      <c r="D49" s="32">
        <f>D46/D23</f>
        <v>2.9639642043837173</v>
      </c>
      <c r="E49" s="32">
        <f>E46/E23</f>
        <v>2.5516330275229357</v>
      </c>
      <c r="F49" s="32">
        <f>F46/F23</f>
        <v>2.7039611847345935</v>
      </c>
      <c r="G49" s="32">
        <f>G46/G23</f>
        <v>2.6863349780701755</v>
      </c>
      <c r="I49" s="22" t="s">
        <v>64</v>
      </c>
    </row>
  </sheetData>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52" customWidth="1"/>
    <col min="2" max="2" width="7" customWidth="1"/>
    <col min="3" max="7" width="11" customWidth="1"/>
    <col min="8" max="8" width="72" customWidth="1"/>
  </cols>
  <sheetData>
    <row r="1" spans="1:8" ht="17.25" customHeight="1" x14ac:dyDescent="0.4">
      <c r="A1" s="5" t="s">
        <v>114</v>
      </c>
    </row>
    <row r="2" spans="1:8" ht="15" customHeight="1" x14ac:dyDescent="0.35">
      <c r="A2" s="15" t="s">
        <v>115</v>
      </c>
    </row>
    <row r="4" spans="1:8" ht="15" customHeight="1" x14ac:dyDescent="0.35">
      <c r="A4" s="16" t="s">
        <v>116</v>
      </c>
      <c r="B4" s="17" t="s">
        <v>48</v>
      </c>
      <c r="C4" s="17" t="s">
        <v>51</v>
      </c>
      <c r="D4" s="17" t="s">
        <v>52</v>
      </c>
      <c r="E4" s="17" t="s">
        <v>53</v>
      </c>
      <c r="F4" s="17" t="s">
        <v>117</v>
      </c>
      <c r="G4" s="17" t="s">
        <v>118</v>
      </c>
      <c r="H4" s="17" t="s">
        <v>119</v>
      </c>
    </row>
    <row r="5" spans="1:8" ht="15" customHeight="1" x14ac:dyDescent="0.35">
      <c r="A5" s="13" t="s">
        <v>120</v>
      </c>
      <c r="B5" s="18"/>
      <c r="C5" s="18"/>
      <c r="D5" s="18"/>
      <c r="E5" s="18"/>
      <c r="F5" s="18"/>
      <c r="G5" s="18"/>
      <c r="H5" s="18"/>
    </row>
    <row r="6" spans="1:8" ht="25.5" customHeight="1" x14ac:dyDescent="0.35">
      <c r="A6" s="1" t="s">
        <v>121</v>
      </c>
      <c r="B6" s="19" t="s">
        <v>66</v>
      </c>
      <c r="C6" s="21">
        <f>Reference_Data!C69</f>
        <v>0.09</v>
      </c>
      <c r="D6" s="21">
        <f>Reference_Data!D69</f>
        <v>-1E-3</v>
      </c>
      <c r="E6" s="21">
        <f>Reference_Data!E69</f>
        <v>3.1E-2</v>
      </c>
      <c r="F6" s="21">
        <f>Reference_Data!G69</f>
        <v>1.2999999999999999E-2</v>
      </c>
      <c r="G6" s="21">
        <f>Reference_Data!I69</f>
        <v>2.5000000000000001E-2</v>
      </c>
      <c r="H6" s="33" t="s">
        <v>122</v>
      </c>
    </row>
    <row r="7" spans="1:8" ht="39" customHeight="1" x14ac:dyDescent="0.35">
      <c r="A7" s="1" t="s">
        <v>123</v>
      </c>
      <c r="B7" s="19" t="s">
        <v>66</v>
      </c>
      <c r="C7" s="21">
        <f>Reference_Data!C70</f>
        <v>8.6999999999999994E-2</v>
      </c>
      <c r="D7" s="21">
        <f>Reference_Data!D70</f>
        <v>2E-3</v>
      </c>
      <c r="E7" s="21">
        <f>Reference_Data!E70</f>
        <v>2.1000000000000001E-2</v>
      </c>
      <c r="F7" s="21">
        <f>Reference_Data!G70</f>
        <v>8.0000000000000002E-3</v>
      </c>
      <c r="G7" s="21">
        <f>Reference_Data!I70</f>
        <v>2.3E-2</v>
      </c>
      <c r="H7" s="33" t="s">
        <v>124</v>
      </c>
    </row>
    <row r="8" spans="1:8" ht="15" customHeight="1" x14ac:dyDescent="0.35">
      <c r="A8" s="1" t="s">
        <v>125</v>
      </c>
      <c r="B8" s="19" t="s">
        <v>66</v>
      </c>
      <c r="C8" s="21">
        <f>Reference_Data!C71</f>
        <v>9.1999999999999998E-2</v>
      </c>
      <c r="D8" s="21">
        <f>Reference_Data!D71</f>
        <v>-2E-3</v>
      </c>
      <c r="E8" s="21">
        <f>Reference_Data!E71</f>
        <v>3.2000000000000001E-2</v>
      </c>
      <c r="F8" s="21">
        <f>Reference_Data!G71</f>
        <v>1.4999999999999999E-2</v>
      </c>
      <c r="H8" s="33" t="s">
        <v>126</v>
      </c>
    </row>
    <row r="9" spans="1:8" ht="15" customHeight="1" x14ac:dyDescent="0.35">
      <c r="A9" s="1" t="s">
        <v>127</v>
      </c>
      <c r="B9" s="19" t="s">
        <v>66</v>
      </c>
      <c r="C9" s="21">
        <f>Reference_Data!C72</f>
        <v>9.4E-2</v>
      </c>
      <c r="D9" s="21">
        <f>Reference_Data!D72</f>
        <v>-3.0000000000000001E-3</v>
      </c>
      <c r="E9" s="21">
        <f>Reference_Data!E72</f>
        <v>4.5999999999999999E-2</v>
      </c>
      <c r="F9" s="21">
        <f>Reference_Data!G72</f>
        <v>1.9E-2</v>
      </c>
      <c r="H9" s="33" t="s">
        <v>126</v>
      </c>
    </row>
    <row r="10" spans="1:8" ht="15" customHeight="1" x14ac:dyDescent="0.35">
      <c r="A10" s="1" t="s">
        <v>128</v>
      </c>
      <c r="B10" s="19" t="s">
        <v>129</v>
      </c>
      <c r="C10" s="28">
        <f>Reference_Data!C64+Reference_Data!C65+Reference_Data!C66</f>
        <v>41822</v>
      </c>
      <c r="D10" s="28">
        <f>Reference_Data!D64+Reference_Data!D65+Reference_Data!D66</f>
        <v>43477</v>
      </c>
      <c r="E10" s="28">
        <f>Reference_Data!E64+Reference_Data!E65+Reference_Data!E66</f>
        <v>45356</v>
      </c>
      <c r="H10" s="33" t="s">
        <v>130</v>
      </c>
    </row>
    <row r="11" spans="1:8" ht="25.5" customHeight="1" x14ac:dyDescent="0.35">
      <c r="A11" s="1" t="s">
        <v>131</v>
      </c>
      <c r="B11" s="19" t="s">
        <v>66</v>
      </c>
      <c r="D11" s="21">
        <f>D10/C10-1</f>
        <v>3.9572473817607978E-2</v>
      </c>
      <c r="E11" s="21">
        <f>E10/D10-1</f>
        <v>4.321825332934659E-2</v>
      </c>
      <c r="H11" s="33" t="s">
        <v>132</v>
      </c>
    </row>
    <row r="12" spans="1:8" ht="15" customHeight="1" x14ac:dyDescent="0.35">
      <c r="A12" s="1" t="s">
        <v>133</v>
      </c>
      <c r="B12" s="19" t="s">
        <v>129</v>
      </c>
      <c r="D12" s="28">
        <f>Reference_Data!D75</f>
        <v>2116</v>
      </c>
      <c r="E12" s="28">
        <f>Reference_Data!E75</f>
        <v>2276</v>
      </c>
      <c r="H12" s="33" t="s">
        <v>134</v>
      </c>
    </row>
    <row r="13" spans="1:8" ht="25.5" customHeight="1" x14ac:dyDescent="0.35">
      <c r="A13" s="1" t="s">
        <v>135</v>
      </c>
      <c r="B13" s="19" t="s">
        <v>58</v>
      </c>
      <c r="C13" s="28">
        <f>SUM(Reference_Data!C53:C55)</f>
        <v>119751</v>
      </c>
      <c r="D13" s="28">
        <f>SUM(Reference_Data!D53:D55)</f>
        <v>120933</v>
      </c>
      <c r="E13" s="28">
        <f>SUM(Reference_Data!E53:E55)</f>
        <v>129675</v>
      </c>
      <c r="H13" s="33" t="s">
        <v>136</v>
      </c>
    </row>
    <row r="14" spans="1:8" ht="15" customHeight="1" x14ac:dyDescent="0.35">
      <c r="A14" s="1" t="s">
        <v>137</v>
      </c>
      <c r="B14" s="19" t="s">
        <v>58</v>
      </c>
      <c r="C14" s="28">
        <f>Reference_Data!C11</f>
        <v>9742</v>
      </c>
      <c r="D14" s="28">
        <f>Reference_Data!D11</f>
        <v>9782</v>
      </c>
      <c r="E14" s="28">
        <f>Reference_Data!E11</f>
        <v>9690</v>
      </c>
      <c r="H14" s="33" t="s">
        <v>138</v>
      </c>
    </row>
    <row r="15" spans="1:8" ht="25.5" customHeight="1" x14ac:dyDescent="0.35">
      <c r="A15" s="1" t="s">
        <v>139</v>
      </c>
      <c r="B15" s="19" t="s">
        <v>140</v>
      </c>
      <c r="C15" s="34">
        <f>(C13+C14)/1000</f>
        <v>129.49299999999999</v>
      </c>
      <c r="D15" s="34">
        <f>(D13+D14)/1000</f>
        <v>130.715</v>
      </c>
      <c r="E15" s="34">
        <f>(E13+E14)/1000</f>
        <v>139.36500000000001</v>
      </c>
      <c r="H15" s="33" t="s">
        <v>141</v>
      </c>
    </row>
    <row r="16" spans="1:8" ht="15" customHeight="1" x14ac:dyDescent="0.35">
      <c r="A16" s="1" t="s">
        <v>142</v>
      </c>
      <c r="B16" s="19" t="s">
        <v>66</v>
      </c>
      <c r="D16" s="21">
        <f>D15/C15-1</f>
        <v>9.4368035337817346E-3</v>
      </c>
      <c r="E16" s="21">
        <f>E15/D15-1</f>
        <v>6.6174501778678785E-2</v>
      </c>
      <c r="H16" s="33" t="s">
        <v>143</v>
      </c>
    </row>
    <row r="18" spans="1:8" ht="15" customHeight="1" x14ac:dyDescent="0.35">
      <c r="A18" s="13" t="s">
        <v>144</v>
      </c>
      <c r="B18" s="18"/>
      <c r="C18" s="18"/>
      <c r="D18" s="18"/>
      <c r="E18" s="18"/>
      <c r="F18" s="18"/>
      <c r="G18" s="18"/>
      <c r="H18" s="18"/>
    </row>
    <row r="19" spans="1:8" ht="25.5" customHeight="1" x14ac:dyDescent="0.35">
      <c r="A19" s="1" t="s">
        <v>145</v>
      </c>
      <c r="B19" s="19" t="s">
        <v>66</v>
      </c>
      <c r="C19" s="21">
        <f>Reference_Data!C10/C13</f>
        <v>0.12890915315947257</v>
      </c>
      <c r="D19" s="21">
        <f>Reference_Data!D10/D13</f>
        <v>0.12994798772874236</v>
      </c>
      <c r="E19" s="21">
        <f>Reference_Data!E10/E13</f>
        <v>0.12761133603238867</v>
      </c>
      <c r="H19" s="33" t="s">
        <v>146</v>
      </c>
    </row>
    <row r="20" spans="1:8" ht="15" customHeight="1" x14ac:dyDescent="0.35">
      <c r="A20" s="1" t="s">
        <v>147</v>
      </c>
      <c r="B20" s="19" t="s">
        <v>66</v>
      </c>
      <c r="C20" s="21">
        <f>Reference_Data!C47/Reference_Data!C53</f>
        <v>0.14350683175061105</v>
      </c>
      <c r="D20" s="21">
        <f>Reference_Data!D47/Reference_Data!D53</f>
        <v>0.14343968809675367</v>
      </c>
      <c r="E20" s="21">
        <f>Reference_Data!E47/Reference_Data!E53</f>
        <v>0.14189735494552036</v>
      </c>
      <c r="H20" s="33" t="s">
        <v>148</v>
      </c>
    </row>
    <row r="21" spans="1:8" ht="15" customHeight="1" x14ac:dyDescent="0.35">
      <c r="A21" s="1" t="s">
        <v>149</v>
      </c>
      <c r="B21" s="19" t="s">
        <v>66</v>
      </c>
      <c r="C21" s="21">
        <f>Reference_Data!C48/Reference_Data!C54</f>
        <v>0.17115304202383441</v>
      </c>
      <c r="D21" s="21">
        <f>Reference_Data!D48/Reference_Data!D54</f>
        <v>0.17239088214249207</v>
      </c>
      <c r="E21" s="21">
        <f>Reference_Data!E48/Reference_Data!E54</f>
        <v>0.17151272384542884</v>
      </c>
      <c r="H21" s="33" t="s">
        <v>150</v>
      </c>
    </row>
    <row r="22" spans="1:8" ht="25.5" customHeight="1" x14ac:dyDescent="0.35">
      <c r="A22" s="1" t="s">
        <v>151</v>
      </c>
      <c r="B22" s="19" t="s">
        <v>66</v>
      </c>
      <c r="C22" s="21">
        <f>Reference_Data!C49/Reference_Data!C55</f>
        <v>5.4603617014537739E-2</v>
      </c>
      <c r="D22" s="21">
        <f>Reference_Data!D49/Reference_Data!D55</f>
        <v>5.5758190871895714E-2</v>
      </c>
      <c r="E22" s="21">
        <f>Reference_Data!E49/Reference_Data!E55</f>
        <v>5.3784465414151716E-2</v>
      </c>
      <c r="H22" s="33" t="s">
        <v>152</v>
      </c>
    </row>
    <row r="23" spans="1:8" ht="15" customHeight="1" x14ac:dyDescent="0.35">
      <c r="A23" s="1" t="s">
        <v>153</v>
      </c>
      <c r="B23" s="19" t="s">
        <v>66</v>
      </c>
      <c r="C23" s="21">
        <f>(Reference_Data!C10-Reference_Data!C14)/Reference_Data!C10</f>
        <v>0.83967092051564418</v>
      </c>
      <c r="D23" s="21">
        <f>(Reference_Data!D10-Reference_Data!D14)/Reference_Data!D10</f>
        <v>0.83862551702195354</v>
      </c>
      <c r="E23" s="21">
        <f>(Reference_Data!E10-Reference_Data!E14)/Reference_Data!E10</f>
        <v>0.84179357021996615</v>
      </c>
      <c r="H23" s="33" t="s">
        <v>154</v>
      </c>
    </row>
    <row r="24" spans="1:8" ht="15" customHeight="1" x14ac:dyDescent="0.35">
      <c r="A24" s="1" t="s">
        <v>155</v>
      </c>
      <c r="B24" s="19" t="s">
        <v>66</v>
      </c>
      <c r="C24" s="21">
        <f>(Reference_Data!C11-Reference_Data!C15)/Reference_Data!C11</f>
        <v>0.15582016013138986</v>
      </c>
      <c r="D24" s="21">
        <f>(Reference_Data!D11-Reference_Data!D15)/Reference_Data!D11</f>
        <v>0.14802698834594152</v>
      </c>
      <c r="E24" s="21">
        <f>(Reference_Data!E11-Reference_Data!E15)/Reference_Data!E11</f>
        <v>0.14664602683178535</v>
      </c>
      <c r="H24" s="33" t="s">
        <v>156</v>
      </c>
    </row>
    <row r="25" spans="1:8" ht="15" customHeight="1" x14ac:dyDescent="0.35">
      <c r="A25" s="1" t="s">
        <v>157</v>
      </c>
      <c r="B25" s="19" t="s">
        <v>66</v>
      </c>
      <c r="C25" s="21">
        <f>Reference_Data!C59/Reference_Data!C50</f>
        <v>0.15150574355790128</v>
      </c>
      <c r="D25" s="21">
        <f>Reference_Data!D59/Reference_Data!D50</f>
        <v>0.13043478260869565</v>
      </c>
      <c r="E25" s="21">
        <f>Reference_Data!E59/Reference_Data!E50</f>
        <v>0.11556982343499198</v>
      </c>
      <c r="H25" s="33" t="s">
        <v>158</v>
      </c>
    </row>
    <row r="26" spans="1:8" ht="15" customHeight="1" x14ac:dyDescent="0.35">
      <c r="A26" s="1" t="s">
        <v>159</v>
      </c>
      <c r="B26" s="19" t="s">
        <v>66</v>
      </c>
      <c r="C26" s="35">
        <f>(Reference_Data!C17+Reference_Data!C18)/(C15*1000)</f>
        <v>2.1754071648660545E-2</v>
      </c>
      <c r="D26" s="35">
        <f>(Reference_Data!D17+Reference_Data!D18)/(D15*1000)</f>
        <v>2.1872011628351756E-2</v>
      </c>
      <c r="E26" s="35">
        <f>(Reference_Data!E17+Reference_Data!E18)/(E15*1000)</f>
        <v>2.1813224267211998E-2</v>
      </c>
      <c r="H26" s="33" t="s">
        <v>160</v>
      </c>
    </row>
    <row r="27" spans="1:8" ht="15" customHeight="1" x14ac:dyDescent="0.35">
      <c r="A27" s="1" t="s">
        <v>73</v>
      </c>
      <c r="B27" s="19" t="s">
        <v>66</v>
      </c>
      <c r="C27" s="21">
        <f>Reference_Data!C31/Reference_Data!C13</f>
        <v>0.45683467346538537</v>
      </c>
      <c r="D27" s="21">
        <f>Reference_Data!D31/Reference_Data!D13</f>
        <v>0.45185185185185184</v>
      </c>
      <c r="E27" s="21">
        <f>Reference_Data!E31/Reference_Data!E13</f>
        <v>0.4609633624697787</v>
      </c>
      <c r="F27" s="21">
        <f>Reference_Data!G31/Reference_Data!G13</f>
        <v>0.47014084507042253</v>
      </c>
      <c r="G27" s="21">
        <f>Reference_Data!I31/Reference_Data!I13</f>
        <v>0.46210340775558167</v>
      </c>
      <c r="H27" s="33" t="s">
        <v>161</v>
      </c>
    </row>
    <row r="28" spans="1:8" ht="25.5" customHeight="1" x14ac:dyDescent="0.35">
      <c r="A28" s="1" t="s">
        <v>162</v>
      </c>
      <c r="B28" s="19" t="s">
        <v>66</v>
      </c>
      <c r="D28" s="21">
        <f>IF(Reference_Data!D40="","",(Reference_Data!D31+Reference_Data!D40)/Reference_Data!D13)</f>
        <v>0.46307870370370369</v>
      </c>
      <c r="E28" s="21">
        <f>IF(Reference_Data!E40="","",(Reference_Data!E31+Reference_Data!E40)/Reference_Data!E13)</f>
        <v>0.46948112330295705</v>
      </c>
      <c r="F28" s="21">
        <f>IF(Reference_Data!G40="","",(Reference_Data!G31+Reference_Data!G40)/Reference_Data!G13)</f>
        <v>0.47746478873239434</v>
      </c>
      <c r="G28" s="21">
        <f>IF(Reference_Data!I40="","",(Reference_Data!I31+Reference_Data!I40)/Reference_Data!I13)</f>
        <v>0.46937426556991774</v>
      </c>
      <c r="H28" s="33" t="s">
        <v>163</v>
      </c>
    </row>
    <row r="30" spans="1:8" ht="15" customHeight="1" x14ac:dyDescent="0.35">
      <c r="A30" s="13" t="s">
        <v>164</v>
      </c>
      <c r="B30" s="18"/>
      <c r="C30" s="18"/>
      <c r="D30" s="18"/>
      <c r="E30" s="18"/>
      <c r="F30" s="18"/>
      <c r="G30" s="18"/>
      <c r="H30" s="18"/>
    </row>
    <row r="31" spans="1:8" ht="15" customHeight="1" x14ac:dyDescent="0.35">
      <c r="A31" s="1" t="s">
        <v>92</v>
      </c>
      <c r="B31" s="19" t="s">
        <v>58</v>
      </c>
      <c r="C31" s="28">
        <f>Reference_Data!C82</f>
        <v>2357</v>
      </c>
      <c r="D31" s="28">
        <f>Reference_Data!D82</f>
        <v>2775</v>
      </c>
      <c r="E31" s="28">
        <f>Reference_Data!E82</f>
        <v>3365</v>
      </c>
      <c r="H31" s="33" t="s">
        <v>165</v>
      </c>
    </row>
    <row r="32" spans="1:8" ht="25.5" customHeight="1" x14ac:dyDescent="0.35">
      <c r="A32" s="1" t="s">
        <v>95</v>
      </c>
      <c r="B32" s="19" t="s">
        <v>66</v>
      </c>
      <c r="C32" s="21">
        <f>C31/Reference_Data!C13</f>
        <v>9.2449499901941554E-2</v>
      </c>
      <c r="D32" s="21">
        <f>D31/Reference_Data!D13</f>
        <v>0.10706018518518519</v>
      </c>
      <c r="E32" s="21">
        <f>E31/Reference_Data!E13</f>
        <v>0.12516273014692209</v>
      </c>
      <c r="H32" s="33" t="s">
        <v>166</v>
      </c>
    </row>
    <row r="33" spans="1:8" ht="15" customHeight="1" x14ac:dyDescent="0.35">
      <c r="A33" s="1" t="s">
        <v>167</v>
      </c>
      <c r="B33" s="19" t="s">
        <v>58</v>
      </c>
      <c r="C33" s="28">
        <f>Reference_Data!C81-Reference_Data!C82</f>
        <v>7255</v>
      </c>
      <c r="D33" s="28">
        <f>Reference_Data!D81-Reference_Data!D82</f>
        <v>6672</v>
      </c>
      <c r="E33" s="28">
        <f>Reference_Data!E81-Reference_Data!E82</f>
        <v>7186</v>
      </c>
      <c r="H33" s="33" t="s">
        <v>168</v>
      </c>
    </row>
    <row r="34" spans="1:8" ht="15" customHeight="1" x14ac:dyDescent="0.35">
      <c r="A34" s="1" t="s">
        <v>169</v>
      </c>
      <c r="B34" s="19" t="s">
        <v>66</v>
      </c>
      <c r="C34" s="21">
        <f>C33/Reference_Data!C32</f>
        <v>0.8566536781202031</v>
      </c>
      <c r="D34" s="21">
        <f>D33/Reference_Data!D32</f>
        <v>0.81138270704122584</v>
      </c>
      <c r="E34" s="21">
        <f>E33/Reference_Data!E32</f>
        <v>0.83919187200747403</v>
      </c>
      <c r="H34" s="33" t="s">
        <v>170</v>
      </c>
    </row>
    <row r="35" spans="1:8" ht="25.5" customHeight="1" x14ac:dyDescent="0.35">
      <c r="A35" s="1" t="s">
        <v>171</v>
      </c>
      <c r="B35" s="19" t="s">
        <v>66</v>
      </c>
      <c r="C35" s="36">
        <v>0.252</v>
      </c>
      <c r="D35" s="36">
        <v>0.218</v>
      </c>
      <c r="E35" s="36">
        <v>0.20300000000000001</v>
      </c>
      <c r="H35" s="33" t="s">
        <v>172</v>
      </c>
    </row>
    <row r="36" spans="1:8" ht="15" customHeight="1" x14ac:dyDescent="0.35">
      <c r="A36" s="1" t="s">
        <v>173</v>
      </c>
      <c r="B36" s="19" t="s">
        <v>58</v>
      </c>
      <c r="C36" s="28">
        <f>Reference_Data!C84+Reference_Data!C85</f>
        <v>7587</v>
      </c>
      <c r="D36" s="28">
        <f>Reference_Data!D84+Reference_Data!D85</f>
        <v>7694</v>
      </c>
      <c r="E36" s="28">
        <f>Reference_Data!E84+Reference_Data!E85</f>
        <v>7171</v>
      </c>
      <c r="H36" s="33" t="s">
        <v>165</v>
      </c>
    </row>
    <row r="37" spans="1:8" ht="15" customHeight="1" x14ac:dyDescent="0.35">
      <c r="A37" s="1" t="s">
        <v>112</v>
      </c>
      <c r="B37" s="19" t="s">
        <v>113</v>
      </c>
      <c r="C37" s="37">
        <f>Historical_5Y!E49</f>
        <v>2.5516330275229357</v>
      </c>
      <c r="D37" s="37">
        <f>Historical_5Y!F49</f>
        <v>2.7039611847345935</v>
      </c>
      <c r="E37" s="37">
        <f>Historical_5Y!G49</f>
        <v>2.6863349780701755</v>
      </c>
      <c r="H37" s="33" t="s">
        <v>174</v>
      </c>
    </row>
    <row r="38" spans="1:8" ht="15" customHeight="1" x14ac:dyDescent="0.35">
      <c r="A38" s="1" t="s">
        <v>175</v>
      </c>
      <c r="B38" s="19" t="s">
        <v>113</v>
      </c>
      <c r="C38" s="32">
        <f>Reference_Data!C31/Reference_Data!C22</f>
        <v>8.5576781778104341</v>
      </c>
      <c r="D38" s="32">
        <f>Reference_Data!D31/Reference_Data!D22</f>
        <v>7.7768924302788847</v>
      </c>
      <c r="E38" s="32">
        <f>Reference_Data!E31/Reference_Data!E22</f>
        <v>7.8337547408343866</v>
      </c>
      <c r="F38" s="32">
        <f>Reference_Data!G31/Reference_Data!G22</f>
        <v>8.1613691931540338</v>
      </c>
      <c r="G38" s="32">
        <f>Reference_Data!I31/Reference_Data!I22</f>
        <v>7.7775030902348581</v>
      </c>
      <c r="H38" s="33" t="s">
        <v>176</v>
      </c>
    </row>
    <row r="40" spans="1:8" ht="15" customHeight="1" x14ac:dyDescent="0.35">
      <c r="A40" s="13" t="s">
        <v>177</v>
      </c>
      <c r="B40" s="18"/>
      <c r="C40" s="18"/>
      <c r="D40" s="18"/>
      <c r="E40" s="18"/>
      <c r="F40" s="18"/>
      <c r="G40" s="18"/>
      <c r="H40" s="18"/>
    </row>
    <row r="41" spans="1:8" ht="15" customHeight="1" x14ac:dyDescent="0.35">
      <c r="A41" s="16" t="s">
        <v>178</v>
      </c>
      <c r="B41" s="17" t="s">
        <v>48</v>
      </c>
      <c r="C41" s="17" t="s">
        <v>52</v>
      </c>
      <c r="D41" s="17" t="s">
        <v>53</v>
      </c>
      <c r="E41" s="17" t="s">
        <v>179</v>
      </c>
      <c r="F41" s="17" t="s">
        <v>118</v>
      </c>
      <c r="H41" s="17" t="s">
        <v>180</v>
      </c>
    </row>
    <row r="42" spans="1:8" ht="15" customHeight="1" x14ac:dyDescent="0.35">
      <c r="A42" s="1" t="s">
        <v>70</v>
      </c>
      <c r="B42" s="19" t="s">
        <v>58</v>
      </c>
      <c r="C42" s="28">
        <f>Reference_Data!D31</f>
        <v>11712</v>
      </c>
      <c r="D42" s="28">
        <f>Reference_Data!E31</f>
        <v>12393</v>
      </c>
      <c r="E42" s="28">
        <f>Reference_Data!H31</f>
        <v>5880</v>
      </c>
      <c r="F42" s="28">
        <f>Reference_Data!I31</f>
        <v>6292</v>
      </c>
      <c r="H42" s="33" t="s">
        <v>161</v>
      </c>
    </row>
    <row r="43" spans="1:8" ht="25.5" customHeight="1" x14ac:dyDescent="0.35">
      <c r="A43" s="1" t="s">
        <v>181</v>
      </c>
      <c r="B43" s="19" t="s">
        <v>58</v>
      </c>
      <c r="C43" s="28">
        <f>Reference_Data!D40</f>
        <v>291</v>
      </c>
      <c r="D43" s="28">
        <f>Reference_Data!E40</f>
        <v>229</v>
      </c>
      <c r="E43" s="28">
        <f>Reference_Data!H40</f>
        <v>109</v>
      </c>
      <c r="F43" s="28">
        <f>Reference_Data!I40</f>
        <v>99</v>
      </c>
      <c r="H43" s="33" t="s">
        <v>182</v>
      </c>
    </row>
    <row r="44" spans="1:8" ht="15" customHeight="1" x14ac:dyDescent="0.35">
      <c r="A44" s="1" t="s">
        <v>183</v>
      </c>
      <c r="B44" s="19" t="s">
        <v>58</v>
      </c>
      <c r="C44" s="28">
        <f>C42+C43</f>
        <v>12003</v>
      </c>
      <c r="D44" s="28">
        <f>D42+D43</f>
        <v>12622</v>
      </c>
      <c r="E44" s="28">
        <f>E42+E43</f>
        <v>5989</v>
      </c>
      <c r="F44" s="28">
        <f>F42+F43</f>
        <v>6391</v>
      </c>
    </row>
    <row r="45" spans="1:8" ht="15" customHeight="1" x14ac:dyDescent="0.35">
      <c r="A45" s="1" t="s">
        <v>184</v>
      </c>
      <c r="B45" s="19" t="s">
        <v>58</v>
      </c>
      <c r="C45" s="38">
        <f>Historical_5Y!F16</f>
        <v>12003</v>
      </c>
      <c r="D45" s="38">
        <f>Historical_5Y!G16</f>
        <v>12621</v>
      </c>
      <c r="H45" s="33" t="s">
        <v>185</v>
      </c>
    </row>
    <row r="46" spans="1:8" ht="15" customHeight="1" x14ac:dyDescent="0.35">
      <c r="A46" s="1" t="s">
        <v>186</v>
      </c>
      <c r="B46" s="19" t="s">
        <v>58</v>
      </c>
      <c r="C46" s="28">
        <f>C44-C45</f>
        <v>0</v>
      </c>
      <c r="D46" s="28">
        <f>D44-D45</f>
        <v>1</v>
      </c>
    </row>
    <row r="47" spans="1:8" ht="15" customHeight="1" x14ac:dyDescent="0.35">
      <c r="A47" s="1" t="s">
        <v>75</v>
      </c>
      <c r="B47" s="19" t="s">
        <v>76</v>
      </c>
      <c r="C47" s="39">
        <f>Reference_Data!D33</f>
        <v>11.39</v>
      </c>
      <c r="D47" s="39">
        <f>Reference_Data!E33</f>
        <v>11.95</v>
      </c>
      <c r="E47" s="39">
        <f>Reference_Data!H33</f>
        <v>5.74</v>
      </c>
      <c r="F47" s="39">
        <f>Reference_Data!I33</f>
        <v>6.1</v>
      </c>
    </row>
    <row r="48" spans="1:8" ht="15" customHeight="1" x14ac:dyDescent="0.35">
      <c r="A48" s="1" t="s">
        <v>187</v>
      </c>
      <c r="B48" s="19" t="s">
        <v>76</v>
      </c>
      <c r="C48" s="39">
        <f>Reference_Data!D41/Reference_Data!D27</f>
        <v>0.32691508519185486</v>
      </c>
      <c r="D48" s="39">
        <f>Reference_Data!E41/Reference_Data!E27</f>
        <v>0.24846454494695702</v>
      </c>
      <c r="E48" s="39">
        <f>Reference_Data!H41/Reference_Data!H27</f>
        <v>0.11700793982448809</v>
      </c>
      <c r="F48" s="39">
        <f>Reference_Data!I41/Reference_Data!I27</f>
        <v>0.1066966165941317</v>
      </c>
      <c r="H48" s="33" t="s">
        <v>188</v>
      </c>
    </row>
    <row r="49" spans="1:8" ht="15" customHeight="1" x14ac:dyDescent="0.35">
      <c r="A49" s="1" t="s">
        <v>189</v>
      </c>
      <c r="B49" s="19" t="s">
        <v>76</v>
      </c>
      <c r="C49" s="39">
        <f>C47+C48</f>
        <v>11.716915085191856</v>
      </c>
      <c r="D49" s="39">
        <f>D47+D48</f>
        <v>12.198464544946956</v>
      </c>
      <c r="E49" s="39">
        <f>E47+E48</f>
        <v>5.8570079398244879</v>
      </c>
      <c r="F49" s="39">
        <f>F47+F48</f>
        <v>6.2066966165941313</v>
      </c>
    </row>
    <row r="50" spans="1:8" ht="15" customHeight="1" x14ac:dyDescent="0.35">
      <c r="A50" s="1" t="s">
        <v>190</v>
      </c>
      <c r="B50" s="19" t="s">
        <v>76</v>
      </c>
      <c r="C50" s="40">
        <f>Historical_5Y!F20</f>
        <v>11.72</v>
      </c>
      <c r="D50" s="40">
        <f>Historical_5Y!G20</f>
        <v>12.2</v>
      </c>
      <c r="F50" s="26">
        <v>6.21</v>
      </c>
      <c r="H50" s="33" t="s">
        <v>191</v>
      </c>
    </row>
    <row r="51" spans="1:8" ht="15" customHeight="1" x14ac:dyDescent="0.35">
      <c r="A51" s="1" t="s">
        <v>186</v>
      </c>
      <c r="B51" s="19" t="s">
        <v>76</v>
      </c>
      <c r="C51" s="39">
        <f>C49-C50</f>
        <v>-3.0849148081451006E-3</v>
      </c>
      <c r="D51" s="39">
        <f>D49-D50</f>
        <v>-1.5354550530428668E-3</v>
      </c>
      <c r="F51" s="39">
        <f>F49-F50</f>
        <v>-3.3033834058686651E-3</v>
      </c>
    </row>
    <row r="53" spans="1:8" ht="15" customHeight="1" x14ac:dyDescent="0.35">
      <c r="A53" s="13" t="s">
        <v>192</v>
      </c>
      <c r="B53" s="18"/>
      <c r="C53" s="18"/>
      <c r="D53" s="18"/>
      <c r="E53" s="18"/>
      <c r="F53" s="18"/>
      <c r="G53" s="18"/>
      <c r="H53" s="18"/>
    </row>
    <row r="54" spans="1:8" ht="15" customHeight="1" x14ac:dyDescent="0.35">
      <c r="A54" s="41" t="s">
        <v>193</v>
      </c>
    </row>
    <row r="55" spans="1:8" ht="15" customHeight="1" x14ac:dyDescent="0.35">
      <c r="A55" s="41" t="s">
        <v>194</v>
      </c>
    </row>
    <row r="56" spans="1:8" ht="15" customHeight="1" x14ac:dyDescent="0.35">
      <c r="A56" s="41" t="s">
        <v>195</v>
      </c>
    </row>
    <row r="57" spans="1:8" ht="15" customHeight="1" x14ac:dyDescent="0.35">
      <c r="A57" s="41" t="s">
        <v>196</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showGridLines="0" zoomScaleNormal="100" workbookViewId="0">
      <pane xSplit="1" ySplit="4" topLeftCell="B6" activePane="bottomRight" state="frozen"/>
      <selection pane="topRight" activeCell="B1" sqref="B1"/>
      <selection pane="bottomLeft" activeCell="A5" sqref="A5"/>
      <selection pane="bottomRight"/>
    </sheetView>
  </sheetViews>
  <sheetFormatPr defaultColWidth="8.6328125" defaultRowHeight="14.5" x14ac:dyDescent="0.35"/>
  <cols>
    <col min="1" max="1" width="50" customWidth="1"/>
    <col min="2" max="2" width="10" customWidth="1"/>
    <col min="3" max="3" width="8" customWidth="1"/>
    <col min="4" max="4" width="16" customWidth="1"/>
    <col min="5" max="6" width="62" customWidth="1"/>
  </cols>
  <sheetData>
    <row r="1" spans="1:6" ht="17.25" customHeight="1" x14ac:dyDescent="0.4">
      <c r="A1" s="5" t="s">
        <v>197</v>
      </c>
    </row>
    <row r="2" spans="1:6" ht="15" customHeight="1" x14ac:dyDescent="0.35">
      <c r="A2" s="15" t="s">
        <v>198</v>
      </c>
    </row>
    <row r="4" spans="1:6" ht="15" customHeight="1" x14ac:dyDescent="0.35">
      <c r="A4" s="16" t="s">
        <v>199</v>
      </c>
      <c r="B4" s="17" t="s">
        <v>200</v>
      </c>
      <c r="C4" s="17" t="s">
        <v>48</v>
      </c>
      <c r="D4" s="17" t="s">
        <v>201</v>
      </c>
      <c r="E4" s="17" t="s">
        <v>55</v>
      </c>
      <c r="F4" s="17" t="s">
        <v>202</v>
      </c>
    </row>
    <row r="5" spans="1:6" ht="15" customHeight="1" x14ac:dyDescent="0.35">
      <c r="A5" s="13" t="s">
        <v>203</v>
      </c>
      <c r="B5" s="18"/>
      <c r="C5" s="18"/>
      <c r="D5" s="18"/>
      <c r="E5" s="18"/>
      <c r="F5" s="18"/>
    </row>
    <row r="6" spans="1:6" ht="39" customHeight="1" x14ac:dyDescent="0.35">
      <c r="A6" s="1" t="s">
        <v>204</v>
      </c>
      <c r="B6" s="42">
        <v>1.2999999999999999E-2</v>
      </c>
      <c r="C6" s="19" t="s">
        <v>66</v>
      </c>
      <c r="D6" s="19" t="s">
        <v>205</v>
      </c>
      <c r="E6" s="33" t="s">
        <v>206</v>
      </c>
      <c r="F6" s="33" t="s">
        <v>207</v>
      </c>
    </row>
    <row r="7" spans="1:6" ht="15" customHeight="1" x14ac:dyDescent="0.35">
      <c r="A7" s="1" t="s">
        <v>208</v>
      </c>
      <c r="B7" s="42">
        <v>-0.02</v>
      </c>
      <c r="C7" s="19" t="s">
        <v>66</v>
      </c>
      <c r="D7" s="19" t="s">
        <v>205</v>
      </c>
      <c r="E7" s="33" t="s">
        <v>209</v>
      </c>
      <c r="F7" s="33" t="s">
        <v>210</v>
      </c>
    </row>
    <row r="8" spans="1:6" ht="15" customHeight="1" x14ac:dyDescent="0.35">
      <c r="A8" s="1" t="s">
        <v>211</v>
      </c>
      <c r="B8" s="42">
        <v>3.3000000000000002E-2</v>
      </c>
      <c r="C8" s="19" t="s">
        <v>66</v>
      </c>
      <c r="D8" s="19" t="s">
        <v>205</v>
      </c>
      <c r="E8" s="33" t="s">
        <v>209</v>
      </c>
      <c r="F8" s="33" t="s">
        <v>212</v>
      </c>
    </row>
    <row r="9" spans="1:6" ht="15" customHeight="1" x14ac:dyDescent="0.35">
      <c r="A9" s="1" t="s">
        <v>213</v>
      </c>
      <c r="B9" s="42">
        <v>0.01</v>
      </c>
      <c r="C9" s="19" t="s">
        <v>66</v>
      </c>
      <c r="D9" s="19" t="s">
        <v>214</v>
      </c>
      <c r="E9" s="33" t="s">
        <v>215</v>
      </c>
      <c r="F9" s="33" t="s">
        <v>216</v>
      </c>
    </row>
    <row r="10" spans="1:6" ht="15" customHeight="1" x14ac:dyDescent="0.35">
      <c r="A10" s="1" t="s">
        <v>217</v>
      </c>
      <c r="B10" s="42">
        <v>-0.02</v>
      </c>
      <c r="C10" s="19" t="s">
        <v>66</v>
      </c>
      <c r="D10" s="19" t="s">
        <v>218</v>
      </c>
      <c r="E10" s="33" t="s">
        <v>215</v>
      </c>
      <c r="F10" s="33" t="s">
        <v>219</v>
      </c>
    </row>
    <row r="11" spans="1:6" ht="15" customHeight="1" x14ac:dyDescent="0.35">
      <c r="A11" s="1" t="s">
        <v>220</v>
      </c>
      <c r="B11" s="36">
        <v>0.45</v>
      </c>
      <c r="C11" s="19" t="s">
        <v>66</v>
      </c>
      <c r="D11" s="19" t="s">
        <v>221</v>
      </c>
      <c r="E11" s="33" t="s">
        <v>222</v>
      </c>
      <c r="F11" s="33" t="s">
        <v>223</v>
      </c>
    </row>
    <row r="12" spans="1:6" ht="25.5" customHeight="1" x14ac:dyDescent="0.35">
      <c r="A12" s="1" t="s">
        <v>224</v>
      </c>
      <c r="B12" s="36">
        <v>3.5000000000000003E-2</v>
      </c>
      <c r="C12" s="19" t="s">
        <v>66</v>
      </c>
      <c r="D12" s="19" t="s">
        <v>225</v>
      </c>
      <c r="E12" s="33" t="s">
        <v>226</v>
      </c>
      <c r="F12" s="33" t="s">
        <v>227</v>
      </c>
    </row>
    <row r="13" spans="1:6" ht="25.5" customHeight="1" x14ac:dyDescent="0.35">
      <c r="A13" s="1" t="s">
        <v>228</v>
      </c>
      <c r="B13" s="36">
        <v>0.01</v>
      </c>
      <c r="C13" s="19" t="s">
        <v>229</v>
      </c>
      <c r="D13" s="19" t="s">
        <v>230</v>
      </c>
      <c r="E13" s="33" t="s">
        <v>231</v>
      </c>
      <c r="F13" s="33" t="s">
        <v>232</v>
      </c>
    </row>
    <row r="14" spans="1:6" ht="25.5" customHeight="1" x14ac:dyDescent="0.35">
      <c r="A14" s="1" t="s">
        <v>233</v>
      </c>
      <c r="B14" s="42">
        <v>1.6E-2</v>
      </c>
      <c r="C14" s="19" t="s">
        <v>66</v>
      </c>
      <c r="D14" s="19" t="s">
        <v>234</v>
      </c>
      <c r="E14" s="33" t="s">
        <v>235</v>
      </c>
      <c r="F14" s="33" t="s">
        <v>236</v>
      </c>
    </row>
    <row r="15" spans="1:6" ht="25.5" customHeight="1" x14ac:dyDescent="0.35">
      <c r="A15" s="1" t="s">
        <v>237</v>
      </c>
      <c r="B15" s="42">
        <v>0.03</v>
      </c>
      <c r="C15" s="19" t="s">
        <v>66</v>
      </c>
      <c r="D15" s="19" t="s">
        <v>234</v>
      </c>
      <c r="E15" s="33" t="s">
        <v>238</v>
      </c>
      <c r="F15" s="33" t="s">
        <v>239</v>
      </c>
    </row>
    <row r="16" spans="1:6" ht="15" customHeight="1" x14ac:dyDescent="0.35">
      <c r="A16" s="13" t="s">
        <v>240</v>
      </c>
      <c r="B16" s="18"/>
      <c r="C16" s="18"/>
      <c r="D16" s="18"/>
      <c r="E16" s="18"/>
      <c r="F16" s="18"/>
    </row>
    <row r="17" spans="1:6" ht="15" customHeight="1" x14ac:dyDescent="0.35">
      <c r="A17" s="1" t="s">
        <v>241</v>
      </c>
      <c r="B17" s="29">
        <v>4</v>
      </c>
      <c r="C17" s="19" t="s">
        <v>242</v>
      </c>
      <c r="D17" s="19" t="s">
        <v>230</v>
      </c>
      <c r="E17" s="33" t="s">
        <v>243</v>
      </c>
      <c r="F17" s="33" t="s">
        <v>244</v>
      </c>
    </row>
    <row r="18" spans="1:6" ht="25.5" customHeight="1" x14ac:dyDescent="0.35">
      <c r="A18" s="1" t="s">
        <v>245</v>
      </c>
      <c r="B18" s="29">
        <v>0.5</v>
      </c>
      <c r="C18" s="19" t="s">
        <v>242</v>
      </c>
      <c r="D18" s="19" t="s">
        <v>230</v>
      </c>
      <c r="E18" s="33" t="s">
        <v>243</v>
      </c>
      <c r="F18" s="33" t="s">
        <v>246</v>
      </c>
    </row>
    <row r="19" spans="1:6" ht="15" customHeight="1" x14ac:dyDescent="0.35">
      <c r="A19" s="1" t="s">
        <v>247</v>
      </c>
      <c r="B19" s="21">
        <f>B18/B17</f>
        <v>0.125</v>
      </c>
      <c r="C19" s="19" t="s">
        <v>66</v>
      </c>
      <c r="D19" s="19" t="s">
        <v>230</v>
      </c>
      <c r="E19" s="33" t="s">
        <v>64</v>
      </c>
      <c r="F19" s="33" t="s">
        <v>248</v>
      </c>
    </row>
    <row r="20" spans="1:6" ht="15" customHeight="1" x14ac:dyDescent="0.35">
      <c r="A20" s="1" t="s">
        <v>249</v>
      </c>
      <c r="B20" s="36">
        <v>0.5</v>
      </c>
      <c r="C20" s="19" t="s">
        <v>66</v>
      </c>
      <c r="D20" s="19" t="s">
        <v>250</v>
      </c>
      <c r="E20" s="33" t="s">
        <v>243</v>
      </c>
      <c r="F20" s="33" t="s">
        <v>251</v>
      </c>
    </row>
    <row r="21" spans="1:6" ht="15" customHeight="1" x14ac:dyDescent="0.35">
      <c r="A21" s="1" t="s">
        <v>252</v>
      </c>
      <c r="B21" s="29">
        <v>4.5</v>
      </c>
      <c r="C21" s="19" t="s">
        <v>242</v>
      </c>
      <c r="D21" s="19" t="s">
        <v>230</v>
      </c>
      <c r="E21" s="33" t="s">
        <v>243</v>
      </c>
      <c r="F21" s="33" t="s">
        <v>253</v>
      </c>
    </row>
    <row r="22" spans="1:6" ht="25.5" customHeight="1" x14ac:dyDescent="0.35">
      <c r="A22" s="1" t="s">
        <v>254</v>
      </c>
      <c r="B22" s="29">
        <v>5.5</v>
      </c>
      <c r="C22" s="19" t="s">
        <v>255</v>
      </c>
      <c r="D22" s="19" t="s">
        <v>256</v>
      </c>
      <c r="E22" s="33" t="s">
        <v>243</v>
      </c>
      <c r="F22" s="33" t="s">
        <v>257</v>
      </c>
    </row>
    <row r="23" spans="1:6" ht="25.5" customHeight="1" x14ac:dyDescent="0.35">
      <c r="A23" s="1" t="s">
        <v>258</v>
      </c>
      <c r="B23" s="1" t="s">
        <v>259</v>
      </c>
      <c r="C23" s="19" t="s">
        <v>260</v>
      </c>
      <c r="D23" s="19" t="s">
        <v>261</v>
      </c>
      <c r="E23" s="33" t="s">
        <v>262</v>
      </c>
      <c r="F23" s="33" t="s">
        <v>263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8"/>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48" customWidth="1"/>
    <col min="2" max="2" width="7" customWidth="1"/>
    <col min="3" max="9" width="11" customWidth="1"/>
    <col min="10" max="10" width="44" customWidth="1"/>
  </cols>
  <sheetData>
    <row r="1" spans="1:10" ht="18" customHeight="1" x14ac:dyDescent="0.4">
      <c r="A1" s="5" t="s">
        <v>1041</v>
      </c>
    </row>
    <row r="2" spans="1:10" ht="14.25" customHeight="1" x14ac:dyDescent="0.35">
      <c r="A2" s="15" t="s">
        <v>1042</v>
      </c>
    </row>
    <row r="4" spans="1:10" ht="27.75" customHeight="1" x14ac:dyDescent="0.35">
      <c r="A4" s="16" t="s">
        <v>47</v>
      </c>
      <c r="B4" s="16" t="s">
        <v>48</v>
      </c>
      <c r="C4" s="17" t="s">
        <v>51</v>
      </c>
      <c r="D4" s="17" t="s">
        <v>52</v>
      </c>
      <c r="E4" s="17" t="s">
        <v>53</v>
      </c>
      <c r="F4" s="17" t="s">
        <v>1043</v>
      </c>
      <c r="G4" s="17" t="s">
        <v>117</v>
      </c>
      <c r="H4" s="17" t="s">
        <v>179</v>
      </c>
      <c r="I4" s="17" t="s">
        <v>118</v>
      </c>
      <c r="J4" s="17" t="s">
        <v>1044</v>
      </c>
    </row>
    <row r="6" spans="1:10" ht="14.25" customHeight="1" x14ac:dyDescent="0.35">
      <c r="A6" s="13" t="s">
        <v>1045</v>
      </c>
      <c r="B6" s="18"/>
      <c r="C6" s="18"/>
      <c r="D6" s="18"/>
      <c r="E6" s="18"/>
      <c r="F6" s="18"/>
      <c r="G6" s="18"/>
      <c r="H6" s="18"/>
      <c r="I6" s="18"/>
      <c r="J6" s="18"/>
    </row>
    <row r="7" spans="1:10" ht="14.25" customHeight="1" x14ac:dyDescent="0.35">
      <c r="A7" s="1" t="s">
        <v>1046</v>
      </c>
      <c r="B7" s="19" t="s">
        <v>58</v>
      </c>
      <c r="C7" s="20">
        <v>9840</v>
      </c>
      <c r="D7" s="20">
        <v>10017</v>
      </c>
      <c r="E7" s="20">
        <v>10442</v>
      </c>
      <c r="F7" s="25"/>
      <c r="G7" s="25"/>
      <c r="H7" s="25"/>
      <c r="I7" s="25"/>
      <c r="J7" s="22" t="s">
        <v>1047</v>
      </c>
    </row>
    <row r="8" spans="1:10" ht="14.25" customHeight="1" x14ac:dyDescent="0.35">
      <c r="A8" s="1" t="s">
        <v>1048</v>
      </c>
      <c r="B8" s="19" t="s">
        <v>58</v>
      </c>
      <c r="C8" s="20">
        <v>5531</v>
      </c>
      <c r="D8" s="20">
        <v>5606</v>
      </c>
      <c r="E8" s="20">
        <v>6018</v>
      </c>
      <c r="F8" s="25"/>
      <c r="G8" s="25"/>
      <c r="H8" s="25"/>
      <c r="I8" s="25"/>
      <c r="J8" s="22" t="s">
        <v>1049</v>
      </c>
    </row>
    <row r="9" spans="1:10" ht="14.25" customHeight="1" x14ac:dyDescent="0.35">
      <c r="A9" s="1" t="s">
        <v>1050</v>
      </c>
      <c r="B9" s="19" t="s">
        <v>58</v>
      </c>
      <c r="C9" s="20">
        <v>66</v>
      </c>
      <c r="D9" s="20">
        <v>92</v>
      </c>
      <c r="E9" s="20">
        <v>88</v>
      </c>
      <c r="F9" s="25"/>
      <c r="G9" s="25"/>
      <c r="H9" s="25"/>
      <c r="I9" s="25"/>
      <c r="J9" s="22" t="s">
        <v>1049</v>
      </c>
    </row>
    <row r="10" spans="1:10" ht="14.25" customHeight="1" x14ac:dyDescent="0.35">
      <c r="A10" s="1" t="s">
        <v>57</v>
      </c>
      <c r="B10" s="19" t="s">
        <v>58</v>
      </c>
      <c r="C10" s="20">
        <v>15437</v>
      </c>
      <c r="D10" s="20">
        <v>15715</v>
      </c>
      <c r="E10" s="20">
        <v>16548</v>
      </c>
      <c r="F10" s="20">
        <v>4213</v>
      </c>
      <c r="G10" s="20">
        <v>4393</v>
      </c>
      <c r="H10" s="20">
        <v>7874</v>
      </c>
      <c r="I10" s="20">
        <v>8399</v>
      </c>
      <c r="J10" s="22" t="s">
        <v>1051</v>
      </c>
    </row>
    <row r="11" spans="1:10" ht="14.25" customHeight="1" x14ac:dyDescent="0.35">
      <c r="A11" s="1" t="s">
        <v>1052</v>
      </c>
      <c r="B11" s="19" t="s">
        <v>58</v>
      </c>
      <c r="C11" s="20">
        <v>9742</v>
      </c>
      <c r="D11" s="20">
        <v>9782</v>
      </c>
      <c r="E11" s="20">
        <v>9690</v>
      </c>
      <c r="F11" s="20">
        <v>2458</v>
      </c>
      <c r="G11" s="20">
        <v>2525</v>
      </c>
      <c r="H11" s="20">
        <v>4590</v>
      </c>
      <c r="I11" s="20">
        <v>4842</v>
      </c>
      <c r="J11" s="22" t="s">
        <v>1051</v>
      </c>
    </row>
    <row r="12" spans="1:10" ht="14.25" customHeight="1" x14ac:dyDescent="0.35">
      <c r="A12" s="1" t="s">
        <v>62</v>
      </c>
      <c r="B12" s="19" t="s">
        <v>58</v>
      </c>
      <c r="C12" s="20">
        <v>316</v>
      </c>
      <c r="D12" s="20">
        <v>423</v>
      </c>
      <c r="E12" s="20">
        <v>647</v>
      </c>
      <c r="F12" s="20">
        <v>172</v>
      </c>
      <c r="G12" s="20">
        <v>182</v>
      </c>
      <c r="H12" s="20">
        <v>334</v>
      </c>
      <c r="I12" s="20">
        <v>375</v>
      </c>
      <c r="J12" s="22" t="s">
        <v>1051</v>
      </c>
    </row>
    <row r="13" spans="1:10" ht="14.25" customHeight="1" x14ac:dyDescent="0.35">
      <c r="A13" s="114" t="s">
        <v>63</v>
      </c>
      <c r="B13" s="115" t="s">
        <v>58</v>
      </c>
      <c r="C13" s="23">
        <f t="shared" ref="C13:I13" si="0">IF(COUNT(C10,C11,C12)&lt;3,"",C10+C11+C12)</f>
        <v>25495</v>
      </c>
      <c r="D13" s="23">
        <f t="shared" si="0"/>
        <v>25920</v>
      </c>
      <c r="E13" s="23">
        <f t="shared" si="0"/>
        <v>26885</v>
      </c>
      <c r="F13" s="23">
        <f t="shared" si="0"/>
        <v>6843</v>
      </c>
      <c r="G13" s="23">
        <f t="shared" si="0"/>
        <v>7100</v>
      </c>
      <c r="H13" s="23">
        <f t="shared" si="0"/>
        <v>12798</v>
      </c>
      <c r="I13" s="23">
        <f t="shared" si="0"/>
        <v>13616</v>
      </c>
      <c r="J13" s="116"/>
    </row>
    <row r="14" spans="1:10" ht="14.25" customHeight="1" x14ac:dyDescent="0.35">
      <c r="A14" s="1" t="s">
        <v>1053</v>
      </c>
      <c r="B14" s="19" t="s">
        <v>58</v>
      </c>
      <c r="C14" s="20">
        <v>2475</v>
      </c>
      <c r="D14" s="20">
        <v>2536</v>
      </c>
      <c r="E14" s="20">
        <v>2618</v>
      </c>
      <c r="F14" s="20">
        <v>654</v>
      </c>
      <c r="G14" s="20">
        <v>680</v>
      </c>
      <c r="H14" s="20">
        <v>1274</v>
      </c>
      <c r="I14" s="20">
        <v>1356</v>
      </c>
      <c r="J14" s="22" t="s">
        <v>1051</v>
      </c>
    </row>
    <row r="15" spans="1:10" ht="14.25" customHeight="1" x14ac:dyDescent="0.35">
      <c r="A15" s="1" t="s">
        <v>1054</v>
      </c>
      <c r="B15" s="19" t="s">
        <v>58</v>
      </c>
      <c r="C15" s="20">
        <v>8224</v>
      </c>
      <c r="D15" s="20">
        <v>8334</v>
      </c>
      <c r="E15" s="20">
        <v>8269</v>
      </c>
      <c r="F15" s="20">
        <v>2078</v>
      </c>
      <c r="G15" s="20">
        <v>2138</v>
      </c>
      <c r="H15" s="20">
        <v>3937</v>
      </c>
      <c r="I15" s="20">
        <v>4170</v>
      </c>
      <c r="J15" s="22" t="s">
        <v>1055</v>
      </c>
    </row>
    <row r="16" spans="1:10" ht="14.25" customHeight="1" x14ac:dyDescent="0.35">
      <c r="A16" s="1" t="s">
        <v>1056</v>
      </c>
      <c r="B16" s="19" t="s">
        <v>58</v>
      </c>
      <c r="C16" s="20">
        <v>232</v>
      </c>
      <c r="D16" s="20">
        <v>339</v>
      </c>
      <c r="E16" s="20">
        <v>564</v>
      </c>
      <c r="F16" s="20">
        <v>149</v>
      </c>
      <c r="G16" s="20">
        <v>163</v>
      </c>
      <c r="H16" s="20">
        <v>289</v>
      </c>
      <c r="I16" s="20">
        <v>329</v>
      </c>
      <c r="J16" s="22" t="s">
        <v>1057</v>
      </c>
    </row>
    <row r="17" spans="1:10" ht="14.25" customHeight="1" x14ac:dyDescent="0.35">
      <c r="A17" s="1" t="s">
        <v>1058</v>
      </c>
      <c r="B17" s="19" t="s">
        <v>58</v>
      </c>
      <c r="C17" s="20">
        <v>382</v>
      </c>
      <c r="D17" s="20">
        <v>447</v>
      </c>
      <c r="E17" s="20">
        <v>457</v>
      </c>
      <c r="F17" s="20">
        <v>106</v>
      </c>
      <c r="G17" s="20">
        <v>111</v>
      </c>
      <c r="H17" s="20">
        <v>213</v>
      </c>
      <c r="I17" s="20">
        <v>222</v>
      </c>
      <c r="J17" s="22" t="s">
        <v>1057</v>
      </c>
    </row>
    <row r="18" spans="1:10" ht="14.25" customHeight="1" x14ac:dyDescent="0.35">
      <c r="A18" s="1" t="s">
        <v>1059</v>
      </c>
      <c r="B18" s="19" t="s">
        <v>58</v>
      </c>
      <c r="C18" s="20">
        <v>2435</v>
      </c>
      <c r="D18" s="20">
        <v>2412</v>
      </c>
      <c r="E18" s="20">
        <v>2583</v>
      </c>
      <c r="F18" s="20">
        <v>595</v>
      </c>
      <c r="G18" s="20">
        <v>706</v>
      </c>
      <c r="H18" s="20">
        <v>1170</v>
      </c>
      <c r="I18" s="20">
        <v>1354</v>
      </c>
      <c r="J18" s="22" t="s">
        <v>1057</v>
      </c>
    </row>
    <row r="19" spans="1:10" ht="14.25" customHeight="1" x14ac:dyDescent="0.35">
      <c r="A19" s="1" t="s">
        <v>1060</v>
      </c>
      <c r="B19" s="19" t="s">
        <v>58</v>
      </c>
      <c r="C19" s="20">
        <v>99</v>
      </c>
      <c r="D19" s="20">
        <v>139</v>
      </c>
      <c r="E19" s="20">
        <v>2</v>
      </c>
      <c r="F19" s="20">
        <v>29</v>
      </c>
      <c r="G19" s="20">
        <v>-37</v>
      </c>
      <c r="H19" s="20">
        <v>36</v>
      </c>
      <c r="I19" s="20">
        <v>-106</v>
      </c>
      <c r="J19" s="22" t="s">
        <v>1057</v>
      </c>
    </row>
    <row r="20" spans="1:10" ht="14.25" customHeight="1" x14ac:dyDescent="0.35">
      <c r="A20" s="1" t="s">
        <v>1061</v>
      </c>
      <c r="B20" s="19" t="s">
        <v>58</v>
      </c>
      <c r="C20" s="28">
        <f t="shared" ref="C20:I20" si="1">IF(COUNT(C14,C15,C16,C17,C18,C19)&lt;6,"",SUM(C14,C15,C16,C17,C18,C19))</f>
        <v>13847</v>
      </c>
      <c r="D20" s="28">
        <f t="shared" si="1"/>
        <v>14207</v>
      </c>
      <c r="E20" s="28">
        <f t="shared" si="1"/>
        <v>14493</v>
      </c>
      <c r="F20" s="28">
        <f t="shared" si="1"/>
        <v>3611</v>
      </c>
      <c r="G20" s="28">
        <f t="shared" si="1"/>
        <v>3761</v>
      </c>
      <c r="H20" s="28">
        <f t="shared" si="1"/>
        <v>6919</v>
      </c>
      <c r="I20" s="28">
        <f t="shared" si="1"/>
        <v>7325</v>
      </c>
    </row>
    <row r="21" spans="1:10" ht="14.25" customHeight="1" x14ac:dyDescent="0.35">
      <c r="A21" s="114" t="s">
        <v>1062</v>
      </c>
      <c r="B21" s="115" t="s">
        <v>58</v>
      </c>
      <c r="C21" s="23">
        <f t="shared" ref="C21:I21" si="2">IF(OR(C13="",C20=""),"",C13-C20)</f>
        <v>11648</v>
      </c>
      <c r="D21" s="23">
        <f t="shared" si="2"/>
        <v>11713</v>
      </c>
      <c r="E21" s="23">
        <f t="shared" si="2"/>
        <v>12392</v>
      </c>
      <c r="F21" s="23">
        <f t="shared" si="2"/>
        <v>3232</v>
      </c>
      <c r="G21" s="23">
        <f t="shared" si="2"/>
        <v>3339</v>
      </c>
      <c r="H21" s="23">
        <f t="shared" si="2"/>
        <v>5879</v>
      </c>
      <c r="I21" s="23">
        <f t="shared" si="2"/>
        <v>6291</v>
      </c>
      <c r="J21" s="116"/>
    </row>
    <row r="22" spans="1:10" ht="14.25" customHeight="1" x14ac:dyDescent="0.35">
      <c r="A22" s="1" t="s">
        <v>393</v>
      </c>
      <c r="B22" s="19" t="s">
        <v>58</v>
      </c>
      <c r="C22" s="20">
        <v>1361</v>
      </c>
      <c r="D22" s="20">
        <v>1506</v>
      </c>
      <c r="E22" s="20">
        <v>1582</v>
      </c>
      <c r="F22" s="20">
        <v>390</v>
      </c>
      <c r="G22" s="20">
        <v>409</v>
      </c>
      <c r="H22" s="20">
        <v>766</v>
      </c>
      <c r="I22" s="20">
        <v>809</v>
      </c>
      <c r="J22" s="22" t="s">
        <v>1057</v>
      </c>
    </row>
    <row r="23" spans="1:10" ht="14.25" customHeight="1" x14ac:dyDescent="0.35">
      <c r="A23" s="1" t="s">
        <v>1063</v>
      </c>
      <c r="B23" s="19" t="s">
        <v>58</v>
      </c>
      <c r="C23" s="20">
        <v>-236</v>
      </c>
      <c r="D23" s="20">
        <v>-139</v>
      </c>
      <c r="E23" s="20">
        <v>-87</v>
      </c>
      <c r="F23" s="20">
        <v>-18</v>
      </c>
      <c r="G23" s="20">
        <v>-6</v>
      </c>
      <c r="H23" s="20">
        <v>-76</v>
      </c>
      <c r="I23" s="20">
        <v>5</v>
      </c>
      <c r="J23" s="22" t="s">
        <v>1057</v>
      </c>
    </row>
    <row r="24" spans="1:10" ht="14.25" customHeight="1" x14ac:dyDescent="0.35">
      <c r="A24" s="1" t="s">
        <v>1064</v>
      </c>
      <c r="B24" s="19" t="s">
        <v>58</v>
      </c>
      <c r="C24" s="28">
        <f t="shared" ref="C24:I24" si="3">IF(OR(C21="",COUNT(C22,C23)&lt;2),"",C21-C22-C23)</f>
        <v>10523</v>
      </c>
      <c r="D24" s="28">
        <f t="shared" si="3"/>
        <v>10346</v>
      </c>
      <c r="E24" s="28">
        <f t="shared" si="3"/>
        <v>10897</v>
      </c>
      <c r="F24" s="28">
        <f t="shared" si="3"/>
        <v>2860</v>
      </c>
      <c r="G24" s="28">
        <f t="shared" si="3"/>
        <v>2936</v>
      </c>
      <c r="H24" s="28">
        <f t="shared" si="3"/>
        <v>5189</v>
      </c>
      <c r="I24" s="28">
        <f t="shared" si="3"/>
        <v>5477</v>
      </c>
    </row>
    <row r="25" spans="1:10" ht="14.25" customHeight="1" x14ac:dyDescent="0.35">
      <c r="A25" s="1" t="s">
        <v>1065</v>
      </c>
      <c r="B25" s="19" t="s">
        <v>58</v>
      </c>
      <c r="C25" s="20">
        <v>2053</v>
      </c>
      <c r="D25" s="20">
        <v>2121</v>
      </c>
      <c r="E25" s="20">
        <v>2334</v>
      </c>
      <c r="F25" s="20">
        <v>608</v>
      </c>
      <c r="G25" s="20">
        <v>574</v>
      </c>
      <c r="H25" s="20">
        <v>1069</v>
      </c>
      <c r="I25" s="20">
        <v>1133</v>
      </c>
      <c r="J25" s="22" t="s">
        <v>1057</v>
      </c>
    </row>
    <row r="26" spans="1:10" ht="14.25" customHeight="1" x14ac:dyDescent="0.35">
      <c r="A26" s="114" t="s">
        <v>1066</v>
      </c>
      <c r="B26" s="115" t="s">
        <v>58</v>
      </c>
      <c r="C26" s="23">
        <f t="shared" ref="C26:I26" si="4">IF(OR(C24="",C25=""),"",C24-C25)</f>
        <v>8470</v>
      </c>
      <c r="D26" s="23">
        <f t="shared" si="4"/>
        <v>8225</v>
      </c>
      <c r="E26" s="23">
        <f t="shared" si="4"/>
        <v>8563</v>
      </c>
      <c r="F26" s="23">
        <f t="shared" si="4"/>
        <v>2252</v>
      </c>
      <c r="G26" s="23">
        <f t="shared" si="4"/>
        <v>2362</v>
      </c>
      <c r="H26" s="23">
        <f t="shared" si="4"/>
        <v>4120</v>
      </c>
      <c r="I26" s="23">
        <f t="shared" si="4"/>
        <v>4344</v>
      </c>
      <c r="J26" s="116"/>
    </row>
    <row r="27" spans="1:10" ht="14.25" customHeight="1" x14ac:dyDescent="0.35">
      <c r="A27" s="1" t="s">
        <v>84</v>
      </c>
      <c r="B27" s="19" t="s">
        <v>85</v>
      </c>
      <c r="C27" s="29">
        <v>732.3</v>
      </c>
      <c r="D27" s="29">
        <v>721.9</v>
      </c>
      <c r="E27" s="29">
        <v>716.4</v>
      </c>
      <c r="F27" s="29">
        <v>717.6</v>
      </c>
      <c r="G27" s="29">
        <v>711.1</v>
      </c>
      <c r="H27" s="29">
        <v>717.9</v>
      </c>
      <c r="I27" s="29">
        <v>712.3</v>
      </c>
      <c r="J27" s="22" t="s">
        <v>1057</v>
      </c>
    </row>
    <row r="28" spans="1:10" ht="14.25" customHeight="1" x14ac:dyDescent="0.35">
      <c r="A28" s="2" t="s">
        <v>1067</v>
      </c>
      <c r="B28" s="19" t="s">
        <v>76</v>
      </c>
      <c r="C28" s="117">
        <f t="shared" ref="C28:I28" si="5">IF(OR(C26="",N(C27)=0),"",C26/C27)</f>
        <v>11.566297965314762</v>
      </c>
      <c r="D28" s="117">
        <f t="shared" si="5"/>
        <v>11.393544812300872</v>
      </c>
      <c r="E28" s="117">
        <f t="shared" si="5"/>
        <v>11.95281965382468</v>
      </c>
      <c r="F28" s="117">
        <f t="shared" si="5"/>
        <v>3.1382385730211815</v>
      </c>
      <c r="G28" s="117">
        <f t="shared" si="5"/>
        <v>3.3216144002250032</v>
      </c>
      <c r="H28" s="117">
        <f t="shared" si="5"/>
        <v>5.7389608580582259</v>
      </c>
      <c r="I28" s="117">
        <f t="shared" si="5"/>
        <v>6.0985539800645796</v>
      </c>
    </row>
    <row r="30" spans="1:10" ht="14.25" customHeight="1" x14ac:dyDescent="0.35">
      <c r="A30" s="13" t="s">
        <v>1068</v>
      </c>
      <c r="B30" s="18"/>
      <c r="C30" s="18"/>
      <c r="D30" s="18"/>
      <c r="E30" s="18"/>
      <c r="F30" s="18"/>
      <c r="G30" s="18"/>
      <c r="H30" s="18"/>
      <c r="I30" s="18"/>
      <c r="J30" s="18"/>
    </row>
    <row r="31" spans="1:10" ht="14.25" customHeight="1" x14ac:dyDescent="0.35">
      <c r="A31" s="1" t="s">
        <v>1069</v>
      </c>
      <c r="B31" s="19" t="s">
        <v>58</v>
      </c>
      <c r="C31" s="20">
        <v>11647</v>
      </c>
      <c r="D31" s="20">
        <v>11712</v>
      </c>
      <c r="E31" s="20">
        <v>12393</v>
      </c>
      <c r="F31" s="20">
        <v>3232</v>
      </c>
      <c r="G31" s="20">
        <v>3338</v>
      </c>
      <c r="H31" s="20">
        <v>5880</v>
      </c>
      <c r="I31" s="20">
        <v>6292</v>
      </c>
      <c r="J31" s="22" t="s">
        <v>1057</v>
      </c>
    </row>
    <row r="32" spans="1:10" ht="14.25" customHeight="1" x14ac:dyDescent="0.35">
      <c r="A32" s="1" t="s">
        <v>1070</v>
      </c>
      <c r="B32" s="19" t="s">
        <v>58</v>
      </c>
      <c r="C32" s="20">
        <v>8469</v>
      </c>
      <c r="D32" s="20">
        <v>8223</v>
      </c>
      <c r="E32" s="20">
        <v>8563</v>
      </c>
      <c r="F32" s="20">
        <v>2253</v>
      </c>
      <c r="G32" s="20">
        <v>2362</v>
      </c>
      <c r="H32" s="20">
        <v>4121</v>
      </c>
      <c r="I32" s="20">
        <v>4345</v>
      </c>
      <c r="J32" s="22" t="s">
        <v>1057</v>
      </c>
    </row>
    <row r="33" spans="1:10" ht="14.25" customHeight="1" x14ac:dyDescent="0.35">
      <c r="A33" s="1" t="s">
        <v>1071</v>
      </c>
      <c r="B33" s="19" t="s">
        <v>76</v>
      </c>
      <c r="C33" s="118">
        <v>11.56</v>
      </c>
      <c r="D33" s="118">
        <v>11.39</v>
      </c>
      <c r="E33" s="118">
        <v>11.95</v>
      </c>
      <c r="F33" s="118">
        <v>3.14</v>
      </c>
      <c r="G33" s="118">
        <v>3.32</v>
      </c>
      <c r="H33" s="118">
        <v>5.74</v>
      </c>
      <c r="I33" s="118">
        <v>6.1</v>
      </c>
      <c r="J33" s="22" t="s">
        <v>1057</v>
      </c>
    </row>
    <row r="34" spans="1:10" ht="14.25" customHeight="1" x14ac:dyDescent="0.35">
      <c r="A34" s="1" t="s">
        <v>1072</v>
      </c>
      <c r="B34" s="19" t="s">
        <v>58</v>
      </c>
      <c r="C34" s="28">
        <f t="shared" ref="C34:I34" si="6">IF(OR(C21="",C31=""),"",C21-C31)</f>
        <v>1</v>
      </c>
      <c r="D34" s="28">
        <f t="shared" si="6"/>
        <v>1</v>
      </c>
      <c r="E34" s="28">
        <f t="shared" si="6"/>
        <v>-1</v>
      </c>
      <c r="F34" s="28">
        <f t="shared" si="6"/>
        <v>0</v>
      </c>
      <c r="G34" s="28">
        <f t="shared" si="6"/>
        <v>1</v>
      </c>
      <c r="H34" s="28">
        <f t="shared" si="6"/>
        <v>-1</v>
      </c>
      <c r="I34" s="28">
        <f t="shared" si="6"/>
        <v>-1</v>
      </c>
      <c r="J34" s="22" t="s">
        <v>1073</v>
      </c>
    </row>
    <row r="35" spans="1:10" ht="14.25" customHeight="1" x14ac:dyDescent="0.35">
      <c r="A35" s="1" t="s">
        <v>1074</v>
      </c>
      <c r="B35" s="19" t="s">
        <v>58</v>
      </c>
      <c r="C35" s="28">
        <f t="shared" ref="C35:I35" si="7">IF(OR(C26="",C32=""),"",C26-C32)</f>
        <v>1</v>
      </c>
      <c r="D35" s="28">
        <f t="shared" si="7"/>
        <v>2</v>
      </c>
      <c r="E35" s="28">
        <f t="shared" si="7"/>
        <v>0</v>
      </c>
      <c r="F35" s="28">
        <f t="shared" si="7"/>
        <v>-1</v>
      </c>
      <c r="G35" s="28">
        <f t="shared" si="7"/>
        <v>0</v>
      </c>
      <c r="H35" s="28">
        <f t="shared" si="7"/>
        <v>-1</v>
      </c>
      <c r="I35" s="28">
        <f t="shared" si="7"/>
        <v>-1</v>
      </c>
      <c r="J35" s="22" t="s">
        <v>1073</v>
      </c>
    </row>
    <row r="36" spans="1:10" ht="14.25" customHeight="1" x14ac:dyDescent="0.35">
      <c r="A36" s="1" t="s">
        <v>1075</v>
      </c>
      <c r="B36" s="19" t="s">
        <v>58</v>
      </c>
      <c r="C36" s="28">
        <f>IF(COUNT(C7,C8,C9,C10)&lt;4,"",C7+C8+C9-C10)</f>
        <v>0</v>
      </c>
      <c r="D36" s="28">
        <f>IF(COUNT(D7,D8,D9,D10)&lt;4,"",D7+D8+D9-D10)</f>
        <v>0</v>
      </c>
      <c r="E36" s="28">
        <f>IF(COUNT(E7,E8,E9,E10)&lt;4,"",E7+E8+E9-E10)</f>
        <v>0</v>
      </c>
      <c r="F36" s="31"/>
      <c r="G36" s="31"/>
      <c r="H36" s="31"/>
      <c r="I36" s="31"/>
      <c r="J36" s="22" t="s">
        <v>1076</v>
      </c>
    </row>
    <row r="38" spans="1:10" ht="14.25" customHeight="1" x14ac:dyDescent="0.35">
      <c r="A38" s="13" t="s">
        <v>1077</v>
      </c>
      <c r="B38" s="18"/>
      <c r="C38" s="18"/>
      <c r="D38" s="18"/>
      <c r="E38" s="18"/>
      <c r="F38" s="18"/>
      <c r="G38" s="18"/>
      <c r="H38" s="18"/>
      <c r="I38" s="18"/>
      <c r="J38" s="18"/>
    </row>
    <row r="39" spans="1:10" ht="14.25" customHeight="1" x14ac:dyDescent="0.35">
      <c r="A39" s="1" t="s">
        <v>100</v>
      </c>
      <c r="B39" s="19" t="s">
        <v>76</v>
      </c>
      <c r="C39" s="118">
        <v>6.23</v>
      </c>
      <c r="D39" s="118">
        <v>6.78</v>
      </c>
      <c r="E39" s="118">
        <v>7.17</v>
      </c>
      <c r="F39" s="119"/>
      <c r="G39" s="119"/>
      <c r="H39" s="119"/>
      <c r="I39" s="119"/>
      <c r="J39" s="22" t="s">
        <v>1078</v>
      </c>
    </row>
    <row r="40" spans="1:10" ht="14.25" customHeight="1" x14ac:dyDescent="0.35">
      <c r="A40" s="1" t="s">
        <v>1079</v>
      </c>
      <c r="B40" s="19" t="s">
        <v>58</v>
      </c>
      <c r="C40" s="25"/>
      <c r="D40" s="20">
        <v>291</v>
      </c>
      <c r="E40" s="20">
        <v>229</v>
      </c>
      <c r="F40" s="20">
        <v>43</v>
      </c>
      <c r="G40" s="20">
        <v>52</v>
      </c>
      <c r="H40" s="20">
        <v>109</v>
      </c>
      <c r="I40" s="20">
        <v>99</v>
      </c>
      <c r="J40" s="22" t="s">
        <v>1080</v>
      </c>
    </row>
    <row r="41" spans="1:10" ht="14.25" customHeight="1" x14ac:dyDescent="0.35">
      <c r="A41" s="1" t="s">
        <v>1081</v>
      </c>
      <c r="B41" s="19" t="s">
        <v>58</v>
      </c>
      <c r="C41" s="25"/>
      <c r="D41" s="20">
        <v>236</v>
      </c>
      <c r="E41" s="20">
        <v>178</v>
      </c>
      <c r="F41" s="20">
        <v>34</v>
      </c>
      <c r="G41" s="20">
        <v>40</v>
      </c>
      <c r="H41" s="20">
        <v>84</v>
      </c>
      <c r="I41" s="20">
        <v>76</v>
      </c>
      <c r="J41" s="22" t="s">
        <v>1082</v>
      </c>
    </row>
    <row r="42" spans="1:10" ht="14.25" customHeight="1" x14ac:dyDescent="0.35">
      <c r="A42" s="1" t="s">
        <v>1083</v>
      </c>
      <c r="B42" s="19" t="s">
        <v>58</v>
      </c>
      <c r="C42" s="20">
        <v>3039</v>
      </c>
      <c r="D42" s="20">
        <v>2995</v>
      </c>
      <c r="E42" s="20">
        <v>3006</v>
      </c>
      <c r="F42" s="25"/>
      <c r="G42" s="25"/>
      <c r="H42" s="25"/>
      <c r="I42" s="25"/>
      <c r="J42" s="22" t="s">
        <v>1078</v>
      </c>
    </row>
    <row r="43" spans="1:10" ht="14.25" customHeight="1" x14ac:dyDescent="0.35">
      <c r="A43" s="1" t="s">
        <v>1084</v>
      </c>
      <c r="B43" s="19" t="s">
        <v>58</v>
      </c>
      <c r="C43" s="20">
        <v>2886</v>
      </c>
      <c r="D43" s="20">
        <v>2959</v>
      </c>
      <c r="E43" s="20">
        <v>2905</v>
      </c>
      <c r="F43" s="25"/>
      <c r="G43" s="25"/>
      <c r="H43" s="25"/>
      <c r="I43" s="25"/>
      <c r="J43" s="22" t="s">
        <v>1078</v>
      </c>
    </row>
    <row r="44" spans="1:10" ht="14.25" customHeight="1" x14ac:dyDescent="0.35">
      <c r="A44" s="1" t="s">
        <v>1085</v>
      </c>
      <c r="B44" s="19" t="s">
        <v>58</v>
      </c>
      <c r="C44" s="20">
        <v>2299</v>
      </c>
      <c r="D44" s="20">
        <v>2381</v>
      </c>
      <c r="E44" s="20">
        <v>2358</v>
      </c>
      <c r="F44" s="25"/>
      <c r="G44" s="25"/>
      <c r="H44" s="25"/>
      <c r="I44" s="25"/>
      <c r="J44" s="22" t="s">
        <v>1078</v>
      </c>
    </row>
    <row r="46" spans="1:10" ht="14.25" customHeight="1" x14ac:dyDescent="0.35">
      <c r="A46" s="13" t="s">
        <v>1086</v>
      </c>
      <c r="B46" s="18"/>
      <c r="C46" s="18"/>
      <c r="D46" s="18"/>
      <c r="E46" s="18"/>
      <c r="F46" s="18"/>
      <c r="G46" s="18"/>
      <c r="H46" s="18"/>
      <c r="I46" s="18"/>
      <c r="J46" s="18"/>
    </row>
    <row r="47" spans="1:10" ht="14.25" customHeight="1" x14ac:dyDescent="0.35">
      <c r="A47" s="1" t="s">
        <v>1087</v>
      </c>
      <c r="B47" s="19" t="s">
        <v>58</v>
      </c>
      <c r="C47" s="20">
        <v>7163</v>
      </c>
      <c r="D47" s="20">
        <v>7211</v>
      </c>
      <c r="E47" s="20">
        <v>7371</v>
      </c>
      <c r="F47" s="25"/>
      <c r="G47" s="25"/>
      <c r="H47" s="25"/>
      <c r="I47" s="25"/>
      <c r="J47" s="22" t="s">
        <v>1088</v>
      </c>
    </row>
    <row r="48" spans="1:10" ht="14.25" customHeight="1" x14ac:dyDescent="0.35">
      <c r="A48" s="1" t="s">
        <v>1089</v>
      </c>
      <c r="B48" s="19" t="s">
        <v>58</v>
      </c>
      <c r="C48" s="20">
        <v>6549</v>
      </c>
      <c r="D48" s="20">
        <v>6746</v>
      </c>
      <c r="E48" s="20">
        <v>7279</v>
      </c>
      <c r="F48" s="25"/>
      <c r="G48" s="25"/>
      <c r="H48" s="25"/>
      <c r="I48" s="25"/>
      <c r="J48" s="22" t="s">
        <v>1088</v>
      </c>
    </row>
    <row r="49" spans="1:10" ht="14.25" customHeight="1" x14ac:dyDescent="0.35">
      <c r="A49" s="1" t="s">
        <v>1090</v>
      </c>
      <c r="B49" s="19" t="s">
        <v>58</v>
      </c>
      <c r="C49" s="20">
        <v>1724</v>
      </c>
      <c r="D49" s="20">
        <v>1758</v>
      </c>
      <c r="E49" s="20">
        <v>1898</v>
      </c>
      <c r="F49" s="25"/>
      <c r="G49" s="25"/>
      <c r="H49" s="25"/>
      <c r="I49" s="25"/>
      <c r="J49" s="22" t="s">
        <v>1088</v>
      </c>
    </row>
    <row r="50" spans="1:10" ht="14.25" customHeight="1" x14ac:dyDescent="0.35">
      <c r="A50" s="1" t="s">
        <v>1091</v>
      </c>
      <c r="B50" s="19" t="s">
        <v>58</v>
      </c>
      <c r="C50" s="20">
        <v>3221</v>
      </c>
      <c r="D50" s="20">
        <v>3197</v>
      </c>
      <c r="E50" s="20">
        <v>3115</v>
      </c>
      <c r="F50" s="25"/>
      <c r="G50" s="25"/>
      <c r="H50" s="25"/>
      <c r="I50" s="25"/>
      <c r="J50" s="22" t="s">
        <v>1088</v>
      </c>
    </row>
    <row r="51" spans="1:10" ht="14.25" customHeight="1" x14ac:dyDescent="0.35">
      <c r="A51" s="1" t="s">
        <v>1092</v>
      </c>
      <c r="B51" s="19" t="s">
        <v>58</v>
      </c>
      <c r="C51" s="20">
        <v>5702</v>
      </c>
      <c r="D51" s="20">
        <v>5713</v>
      </c>
      <c r="E51" s="20">
        <v>6131</v>
      </c>
      <c r="F51" s="25"/>
      <c r="G51" s="25"/>
      <c r="H51" s="25"/>
      <c r="I51" s="25"/>
      <c r="J51" s="22" t="s">
        <v>1088</v>
      </c>
    </row>
    <row r="52" spans="1:10" ht="14.25" customHeight="1" x14ac:dyDescent="0.35">
      <c r="A52" s="1" t="s">
        <v>1093</v>
      </c>
      <c r="B52" s="19" t="s">
        <v>58</v>
      </c>
      <c r="C52" s="20">
        <v>819</v>
      </c>
      <c r="D52" s="20">
        <v>872</v>
      </c>
      <c r="E52" s="20">
        <v>443</v>
      </c>
      <c r="F52" s="25"/>
      <c r="G52" s="25"/>
      <c r="H52" s="25"/>
      <c r="I52" s="25"/>
      <c r="J52" s="22" t="s">
        <v>1088</v>
      </c>
    </row>
    <row r="53" spans="1:10" ht="14.25" customHeight="1" x14ac:dyDescent="0.35">
      <c r="A53" s="1" t="s">
        <v>1094</v>
      </c>
      <c r="B53" s="19" t="s">
        <v>58</v>
      </c>
      <c r="C53" s="20">
        <v>49914</v>
      </c>
      <c r="D53" s="20">
        <v>50272</v>
      </c>
      <c r="E53" s="20">
        <v>51946</v>
      </c>
      <c r="F53" s="25"/>
      <c r="G53" s="25"/>
      <c r="H53" s="25"/>
      <c r="I53" s="25"/>
      <c r="J53" s="22" t="s">
        <v>1095</v>
      </c>
    </row>
    <row r="54" spans="1:10" ht="14.25" customHeight="1" x14ac:dyDescent="0.35">
      <c r="A54" s="1" t="s">
        <v>1096</v>
      </c>
      <c r="B54" s="19" t="s">
        <v>58</v>
      </c>
      <c r="C54" s="20">
        <v>38264</v>
      </c>
      <c r="D54" s="20">
        <v>39132</v>
      </c>
      <c r="E54" s="20">
        <v>42440</v>
      </c>
      <c r="F54" s="25"/>
      <c r="G54" s="25"/>
      <c r="H54" s="25"/>
      <c r="I54" s="25"/>
      <c r="J54" s="22" t="s">
        <v>1095</v>
      </c>
    </row>
    <row r="55" spans="1:10" ht="14.25" customHeight="1" x14ac:dyDescent="0.35">
      <c r="A55" s="1" t="s">
        <v>1097</v>
      </c>
      <c r="B55" s="19" t="s">
        <v>58</v>
      </c>
      <c r="C55" s="20">
        <v>31573</v>
      </c>
      <c r="D55" s="20">
        <v>31529</v>
      </c>
      <c r="E55" s="20">
        <v>35289</v>
      </c>
      <c r="F55" s="25"/>
      <c r="G55" s="25"/>
      <c r="H55" s="25"/>
      <c r="I55" s="25"/>
      <c r="J55" s="22" t="s">
        <v>1095</v>
      </c>
    </row>
    <row r="56" spans="1:10" ht="14.25" customHeight="1" x14ac:dyDescent="0.35">
      <c r="A56" s="1" t="s">
        <v>1098</v>
      </c>
      <c r="B56" s="19" t="s">
        <v>58</v>
      </c>
      <c r="C56" s="20">
        <v>5877</v>
      </c>
      <c r="D56" s="20">
        <v>5916</v>
      </c>
      <c r="E56" s="20">
        <v>6078</v>
      </c>
      <c r="F56" s="25"/>
      <c r="G56" s="25"/>
      <c r="H56" s="25"/>
      <c r="I56" s="25"/>
      <c r="J56" s="22" t="s">
        <v>1095</v>
      </c>
    </row>
    <row r="57" spans="1:10" ht="14.25" customHeight="1" x14ac:dyDescent="0.35">
      <c r="A57" s="1" t="s">
        <v>1099</v>
      </c>
      <c r="B57" s="19" t="s">
        <v>58</v>
      </c>
      <c r="C57" s="20">
        <v>5379</v>
      </c>
      <c r="D57" s="20">
        <v>5514</v>
      </c>
      <c r="E57" s="20">
        <v>5954</v>
      </c>
      <c r="F57" s="25"/>
      <c r="G57" s="25"/>
      <c r="H57" s="25"/>
      <c r="I57" s="25"/>
      <c r="J57" s="22" t="s">
        <v>1095</v>
      </c>
    </row>
    <row r="58" spans="1:10" ht="14.25" customHeight="1" x14ac:dyDescent="0.35">
      <c r="A58" s="1" t="s">
        <v>1100</v>
      </c>
      <c r="B58" s="19" t="s">
        <v>58</v>
      </c>
      <c r="C58" s="20">
        <v>1706</v>
      </c>
      <c r="D58" s="20">
        <v>1748</v>
      </c>
      <c r="E58" s="20">
        <v>1897</v>
      </c>
      <c r="F58" s="25"/>
      <c r="G58" s="25"/>
      <c r="H58" s="25"/>
      <c r="I58" s="25"/>
      <c r="J58" s="22" t="s">
        <v>1095</v>
      </c>
    </row>
    <row r="59" spans="1:10" ht="14.25" customHeight="1" x14ac:dyDescent="0.35">
      <c r="A59" s="1" t="s">
        <v>1101</v>
      </c>
      <c r="B59" s="19" t="s">
        <v>58</v>
      </c>
      <c r="C59" s="20">
        <v>488</v>
      </c>
      <c r="D59" s="20">
        <v>417</v>
      </c>
      <c r="E59" s="20">
        <v>360</v>
      </c>
      <c r="F59" s="25"/>
      <c r="G59" s="25"/>
      <c r="H59" s="25"/>
      <c r="I59" s="25"/>
      <c r="J59" s="22" t="s">
        <v>1095</v>
      </c>
    </row>
    <row r="60" spans="1:10" ht="14.25" customHeight="1" x14ac:dyDescent="0.35">
      <c r="A60" s="1" t="s">
        <v>1102</v>
      </c>
      <c r="B60" s="19" t="s">
        <v>58</v>
      </c>
      <c r="C60" s="20">
        <v>995</v>
      </c>
      <c r="D60" s="20">
        <v>948</v>
      </c>
      <c r="E60" s="20">
        <v>1031</v>
      </c>
      <c r="F60" s="25"/>
      <c r="G60" s="25"/>
      <c r="H60" s="25"/>
      <c r="I60" s="25"/>
      <c r="J60" s="22" t="s">
        <v>1095</v>
      </c>
    </row>
    <row r="61" spans="1:10" ht="14.25" customHeight="1" x14ac:dyDescent="0.35">
      <c r="A61" s="1" t="s">
        <v>1103</v>
      </c>
      <c r="B61" s="19" t="s">
        <v>58</v>
      </c>
      <c r="C61" s="20">
        <v>5694</v>
      </c>
      <c r="D61" s="20">
        <v>5733</v>
      </c>
      <c r="E61" s="20">
        <v>5808</v>
      </c>
      <c r="F61" s="25"/>
      <c r="G61" s="25"/>
      <c r="H61" s="25"/>
      <c r="I61" s="25"/>
      <c r="J61" s="22" t="s">
        <v>1104</v>
      </c>
    </row>
    <row r="62" spans="1:10" ht="14.25" customHeight="1" x14ac:dyDescent="0.35">
      <c r="A62" s="1" t="s">
        <v>1105</v>
      </c>
      <c r="B62" s="19" t="s">
        <v>58</v>
      </c>
      <c r="C62" s="20">
        <v>5831</v>
      </c>
      <c r="D62" s="20">
        <v>5946</v>
      </c>
      <c r="E62" s="20">
        <v>6382</v>
      </c>
      <c r="F62" s="25"/>
      <c r="G62" s="25"/>
      <c r="H62" s="25"/>
      <c r="I62" s="25"/>
      <c r="J62" s="22" t="s">
        <v>1104</v>
      </c>
    </row>
    <row r="63" spans="1:10" ht="14.25" customHeight="1" x14ac:dyDescent="0.35">
      <c r="A63" s="1" t="s">
        <v>1106</v>
      </c>
      <c r="B63" s="19" t="s">
        <v>58</v>
      </c>
      <c r="C63" s="20">
        <v>121</v>
      </c>
      <c r="D63" s="20">
        <v>33</v>
      </c>
      <c r="E63" s="20">
        <v>203</v>
      </c>
      <c r="F63" s="25"/>
      <c r="G63" s="25"/>
      <c r="H63" s="25"/>
      <c r="I63" s="25"/>
      <c r="J63" s="22" t="s">
        <v>1104</v>
      </c>
    </row>
    <row r="64" spans="1:10" ht="14.25" customHeight="1" x14ac:dyDescent="0.35">
      <c r="A64" s="1" t="s">
        <v>1107</v>
      </c>
      <c r="B64" s="19" t="s">
        <v>129</v>
      </c>
      <c r="C64" s="20">
        <v>13457</v>
      </c>
      <c r="D64" s="20">
        <v>13557</v>
      </c>
      <c r="E64" s="20">
        <v>13706</v>
      </c>
      <c r="F64" s="25"/>
      <c r="G64" s="25"/>
      <c r="H64" s="25"/>
      <c r="I64" s="25"/>
      <c r="J64" s="22" t="s">
        <v>1108</v>
      </c>
    </row>
    <row r="65" spans="1:10" ht="14.25" customHeight="1" x14ac:dyDescent="0.35">
      <c r="A65" s="1" t="s">
        <v>1109</v>
      </c>
      <c r="B65" s="19" t="s">
        <v>129</v>
      </c>
      <c r="C65" s="20">
        <v>10263</v>
      </c>
      <c r="D65" s="20">
        <v>10512</v>
      </c>
      <c r="E65" s="20">
        <v>10845</v>
      </c>
      <c r="F65" s="25"/>
      <c r="G65" s="25"/>
      <c r="H65" s="25"/>
      <c r="I65" s="25"/>
      <c r="J65" s="22" t="s">
        <v>1108</v>
      </c>
    </row>
    <row r="66" spans="1:10" ht="14.25" customHeight="1" x14ac:dyDescent="0.35">
      <c r="A66" s="1" t="s">
        <v>1110</v>
      </c>
      <c r="B66" s="19" t="s">
        <v>129</v>
      </c>
      <c r="C66" s="20">
        <v>18102</v>
      </c>
      <c r="D66" s="20">
        <v>19408</v>
      </c>
      <c r="E66" s="20">
        <v>20805</v>
      </c>
      <c r="F66" s="25"/>
      <c r="G66" s="25"/>
      <c r="H66" s="25"/>
      <c r="I66" s="25"/>
      <c r="J66" s="22" t="s">
        <v>1108</v>
      </c>
    </row>
    <row r="68" spans="1:10" ht="14.25" customHeight="1" x14ac:dyDescent="0.35">
      <c r="A68" s="13" t="s">
        <v>1111</v>
      </c>
      <c r="B68" s="18"/>
      <c r="C68" s="18"/>
      <c r="D68" s="18"/>
      <c r="E68" s="18"/>
      <c r="F68" s="18"/>
      <c r="G68" s="18"/>
      <c r="H68" s="18"/>
      <c r="I68" s="18"/>
      <c r="J68" s="18"/>
    </row>
    <row r="69" spans="1:10" ht="14.25" customHeight="1" x14ac:dyDescent="0.35">
      <c r="A69" s="1" t="s">
        <v>1112</v>
      </c>
      <c r="B69" s="19" t="s">
        <v>66</v>
      </c>
      <c r="C69" s="36">
        <v>0.09</v>
      </c>
      <c r="D69" s="36">
        <v>-1E-3</v>
      </c>
      <c r="E69" s="36">
        <v>3.1E-2</v>
      </c>
      <c r="F69" s="36">
        <v>3.7999999999999999E-2</v>
      </c>
      <c r="G69" s="36">
        <v>1.2999999999999999E-2</v>
      </c>
      <c r="H69" s="36"/>
      <c r="I69" s="36">
        <v>2.5000000000000001E-2</v>
      </c>
      <c r="J69" s="22" t="s">
        <v>1113</v>
      </c>
    </row>
    <row r="70" spans="1:10" ht="14.25" customHeight="1" x14ac:dyDescent="0.35">
      <c r="A70" s="1" t="s">
        <v>123</v>
      </c>
      <c r="B70" s="19" t="s">
        <v>66</v>
      </c>
      <c r="C70" s="36">
        <v>8.6999999999999994E-2</v>
      </c>
      <c r="D70" s="36">
        <v>2E-3</v>
      </c>
      <c r="E70" s="36">
        <v>2.1000000000000001E-2</v>
      </c>
      <c r="F70" s="36">
        <v>2.5000000000000001E-2</v>
      </c>
      <c r="G70" s="36">
        <v>8.0000000000000002E-3</v>
      </c>
      <c r="H70" s="36"/>
      <c r="I70" s="36">
        <v>2.3E-2</v>
      </c>
      <c r="J70" s="22" t="s">
        <v>1113</v>
      </c>
    </row>
    <row r="71" spans="1:10" ht="14.25" customHeight="1" x14ac:dyDescent="0.35">
      <c r="A71" s="1" t="s">
        <v>125</v>
      </c>
      <c r="B71" s="19" t="s">
        <v>66</v>
      </c>
      <c r="C71" s="36">
        <v>9.1999999999999998E-2</v>
      </c>
      <c r="D71" s="36">
        <v>-2E-3</v>
      </c>
      <c r="E71" s="36">
        <v>3.2000000000000001E-2</v>
      </c>
      <c r="F71" s="36">
        <v>0.04</v>
      </c>
      <c r="G71" s="36">
        <v>1.4999999999999999E-2</v>
      </c>
      <c r="H71" s="36"/>
      <c r="I71" s="36"/>
      <c r="J71" s="22" t="s">
        <v>1114</v>
      </c>
    </row>
    <row r="72" spans="1:10" ht="14.25" customHeight="1" x14ac:dyDescent="0.35">
      <c r="A72" s="1" t="s">
        <v>127</v>
      </c>
      <c r="B72" s="19" t="s">
        <v>66</v>
      </c>
      <c r="C72" s="36">
        <v>9.4E-2</v>
      </c>
      <c r="D72" s="36">
        <v>-3.0000000000000001E-3</v>
      </c>
      <c r="E72" s="36">
        <v>4.5999999999999999E-2</v>
      </c>
      <c r="F72" s="36">
        <v>5.6000000000000001E-2</v>
      </c>
      <c r="G72" s="36">
        <v>1.9E-2</v>
      </c>
      <c r="H72" s="36"/>
      <c r="I72" s="36"/>
      <c r="J72" s="22" t="s">
        <v>1114</v>
      </c>
    </row>
    <row r="73" spans="1:10" ht="14.25" customHeight="1" x14ac:dyDescent="0.35">
      <c r="A73" s="1" t="s">
        <v>139</v>
      </c>
      <c r="B73" s="19" t="s">
        <v>140</v>
      </c>
      <c r="C73" s="120"/>
      <c r="D73" s="120"/>
      <c r="E73" s="120">
        <v>139.4</v>
      </c>
      <c r="F73" s="120"/>
      <c r="G73" s="120">
        <v>37</v>
      </c>
      <c r="H73" s="120"/>
      <c r="I73" s="120"/>
      <c r="J73" s="22" t="s">
        <v>1115</v>
      </c>
    </row>
    <row r="74" spans="1:10" ht="14.25" customHeight="1" x14ac:dyDescent="0.35">
      <c r="A74" s="1" t="s">
        <v>1116</v>
      </c>
      <c r="B74" s="19" t="s">
        <v>66</v>
      </c>
      <c r="C74" s="36"/>
      <c r="D74" s="36">
        <v>0.02</v>
      </c>
      <c r="E74" s="36">
        <v>0.05</v>
      </c>
      <c r="F74" s="36"/>
      <c r="G74" s="36">
        <v>0.04</v>
      </c>
      <c r="H74" s="36"/>
      <c r="I74" s="36">
        <v>0.05</v>
      </c>
      <c r="J74" s="22" t="s">
        <v>1117</v>
      </c>
    </row>
    <row r="75" spans="1:10" ht="14.25" customHeight="1" x14ac:dyDescent="0.35">
      <c r="A75" s="1" t="s">
        <v>133</v>
      </c>
      <c r="B75" s="19" t="s">
        <v>129</v>
      </c>
      <c r="C75" s="20"/>
      <c r="D75" s="20">
        <v>2116</v>
      </c>
      <c r="E75" s="20">
        <v>2276</v>
      </c>
      <c r="F75" s="25"/>
      <c r="G75" s="25"/>
      <c r="H75" s="25"/>
      <c r="I75" s="25"/>
      <c r="J75" s="22" t="s">
        <v>1108</v>
      </c>
    </row>
    <row r="76" spans="1:10" ht="14.25" customHeight="1" x14ac:dyDescent="0.35">
      <c r="A76" s="1" t="s">
        <v>1118</v>
      </c>
      <c r="B76" s="19" t="s">
        <v>129</v>
      </c>
      <c r="C76" s="20"/>
      <c r="D76" s="20">
        <v>461</v>
      </c>
      <c r="E76" s="20">
        <v>396</v>
      </c>
      <c r="F76" s="25"/>
      <c r="G76" s="25"/>
      <c r="H76" s="25"/>
      <c r="I76" s="25"/>
      <c r="J76" s="22" t="s">
        <v>1108</v>
      </c>
    </row>
    <row r="77" spans="1:10" ht="14.25" customHeight="1" x14ac:dyDescent="0.35">
      <c r="A77" s="1" t="s">
        <v>1119</v>
      </c>
      <c r="B77" s="19" t="s">
        <v>85</v>
      </c>
      <c r="C77" s="121"/>
      <c r="D77" s="121"/>
      <c r="E77" s="121">
        <v>210</v>
      </c>
      <c r="F77" s="121"/>
      <c r="G77" s="121">
        <v>220</v>
      </c>
      <c r="H77" s="121"/>
      <c r="I77" s="121">
        <v>220</v>
      </c>
      <c r="J77" s="22" t="s">
        <v>1120</v>
      </c>
    </row>
    <row r="78" spans="1:10" ht="14.25" customHeight="1" x14ac:dyDescent="0.35">
      <c r="A78" s="1" t="s">
        <v>1121</v>
      </c>
      <c r="B78" s="19" t="s">
        <v>140</v>
      </c>
      <c r="C78" s="120"/>
      <c r="D78" s="120"/>
      <c r="E78" s="120"/>
      <c r="F78" s="120"/>
      <c r="G78" s="120">
        <v>40</v>
      </c>
      <c r="H78" s="120"/>
      <c r="I78" s="120">
        <v>40</v>
      </c>
      <c r="J78" s="22" t="s">
        <v>1122</v>
      </c>
    </row>
    <row r="80" spans="1:10" ht="14.25" customHeight="1" x14ac:dyDescent="0.35">
      <c r="A80" s="13" t="s">
        <v>1123</v>
      </c>
      <c r="B80" s="18"/>
      <c r="C80" s="18"/>
      <c r="D80" s="18"/>
      <c r="E80" s="18"/>
      <c r="F80" s="18"/>
      <c r="G80" s="18"/>
      <c r="H80" s="18"/>
      <c r="I80" s="18"/>
      <c r="J80" s="18"/>
    </row>
    <row r="81" spans="1:10" ht="14.25" customHeight="1" x14ac:dyDescent="0.35">
      <c r="A81" s="1" t="s">
        <v>90</v>
      </c>
      <c r="B81" s="19" t="s">
        <v>58</v>
      </c>
      <c r="C81" s="20">
        <v>9612</v>
      </c>
      <c r="D81" s="20">
        <v>9447</v>
      </c>
      <c r="E81" s="20">
        <v>10551</v>
      </c>
      <c r="F81" s="25"/>
      <c r="G81" s="25"/>
      <c r="H81" s="25"/>
      <c r="I81" s="25"/>
      <c r="J81" s="22" t="s">
        <v>1124</v>
      </c>
    </row>
    <row r="82" spans="1:10" ht="14.25" customHeight="1" x14ac:dyDescent="0.35">
      <c r="A82" s="1" t="s">
        <v>92</v>
      </c>
      <c r="B82" s="19" t="s">
        <v>58</v>
      </c>
      <c r="C82" s="20">
        <v>2357</v>
      </c>
      <c r="D82" s="20">
        <v>2775</v>
      </c>
      <c r="E82" s="20">
        <v>3365</v>
      </c>
      <c r="F82" s="25"/>
      <c r="G82" s="25"/>
      <c r="H82" s="25"/>
      <c r="I82" s="25"/>
      <c r="J82" s="22" t="s">
        <v>1125</v>
      </c>
    </row>
    <row r="83" spans="1:10" ht="14.25" customHeight="1" x14ac:dyDescent="0.35">
      <c r="A83" s="1" t="s">
        <v>80</v>
      </c>
      <c r="B83" s="19" t="s">
        <v>58</v>
      </c>
      <c r="C83" s="20">
        <v>1978</v>
      </c>
      <c r="D83" s="20">
        <v>2097</v>
      </c>
      <c r="E83" s="20">
        <v>2199</v>
      </c>
      <c r="F83" s="25"/>
      <c r="G83" s="25"/>
      <c r="H83" s="25"/>
      <c r="I83" s="25"/>
      <c r="J83" s="22" t="s">
        <v>1124</v>
      </c>
    </row>
    <row r="84" spans="1:10" ht="14.25" customHeight="1" x14ac:dyDescent="0.35">
      <c r="A84" s="1" t="s">
        <v>1126</v>
      </c>
      <c r="B84" s="19" t="s">
        <v>58</v>
      </c>
      <c r="C84" s="20">
        <v>3054</v>
      </c>
      <c r="D84" s="20">
        <v>2824</v>
      </c>
      <c r="E84" s="20">
        <v>2056</v>
      </c>
      <c r="F84" s="25"/>
      <c r="G84" s="25"/>
      <c r="H84" s="25"/>
      <c r="I84" s="25"/>
      <c r="J84" s="22" t="s">
        <v>1125</v>
      </c>
    </row>
    <row r="85" spans="1:10" ht="14.25" customHeight="1" x14ac:dyDescent="0.35">
      <c r="A85" s="1" t="s">
        <v>1127</v>
      </c>
      <c r="B85" s="19" t="s">
        <v>58</v>
      </c>
      <c r="C85" s="20">
        <v>4533</v>
      </c>
      <c r="D85" s="20">
        <v>4870</v>
      </c>
      <c r="E85" s="20">
        <v>5115</v>
      </c>
      <c r="F85" s="25"/>
      <c r="G85" s="25"/>
      <c r="H85" s="25"/>
      <c r="I85" s="25"/>
      <c r="J85" s="22" t="s">
        <v>1125</v>
      </c>
    </row>
    <row r="87" spans="1:10" ht="14.25" customHeight="1" x14ac:dyDescent="0.35">
      <c r="A87" s="13" t="s">
        <v>1128</v>
      </c>
      <c r="B87" s="18"/>
      <c r="C87" s="18"/>
      <c r="D87" s="18"/>
      <c r="E87" s="18"/>
      <c r="F87" s="18"/>
      <c r="G87" s="18"/>
      <c r="H87" s="18"/>
      <c r="I87" s="18"/>
      <c r="J87" s="18"/>
    </row>
    <row r="88" spans="1:10" ht="14.25" customHeight="1" x14ac:dyDescent="0.35">
      <c r="A88" s="1" t="s">
        <v>104</v>
      </c>
      <c r="B88" s="19" t="s">
        <v>58</v>
      </c>
      <c r="C88" s="25"/>
      <c r="D88" s="20">
        <v>1085</v>
      </c>
      <c r="E88" s="20">
        <v>774</v>
      </c>
      <c r="F88" s="25"/>
      <c r="G88" s="25"/>
      <c r="H88" s="25"/>
      <c r="I88" s="25"/>
      <c r="J88" s="22" t="s">
        <v>1129</v>
      </c>
    </row>
    <row r="89" spans="1:10" ht="14.25" customHeight="1" x14ac:dyDescent="0.35">
      <c r="A89" s="1" t="s">
        <v>1130</v>
      </c>
      <c r="B89" s="19" t="s">
        <v>58</v>
      </c>
      <c r="C89" s="25"/>
      <c r="D89" s="20">
        <v>38424</v>
      </c>
      <c r="E89" s="20">
        <v>39973</v>
      </c>
      <c r="F89" s="25"/>
      <c r="G89" s="25"/>
      <c r="H89" s="25"/>
      <c r="I89" s="25"/>
      <c r="J89" s="22" t="s">
        <v>1129</v>
      </c>
    </row>
    <row r="90" spans="1:10" ht="14.25" customHeight="1" x14ac:dyDescent="0.35">
      <c r="A90" s="1" t="s">
        <v>1131</v>
      </c>
      <c r="B90" s="19" t="s">
        <v>58</v>
      </c>
      <c r="C90" s="25"/>
      <c r="D90" s="20">
        <v>636</v>
      </c>
      <c r="E90" s="20">
        <v>694</v>
      </c>
      <c r="F90" s="25"/>
      <c r="G90" s="25"/>
      <c r="H90" s="25"/>
      <c r="I90" s="25"/>
      <c r="J90" s="22" t="s">
        <v>1129</v>
      </c>
    </row>
    <row r="91" spans="1:10" ht="14.25" customHeight="1" x14ac:dyDescent="0.35">
      <c r="A91" s="1" t="s">
        <v>1132</v>
      </c>
      <c r="B91" s="19" t="s">
        <v>58</v>
      </c>
      <c r="C91" s="25"/>
      <c r="D91" s="20">
        <v>12888</v>
      </c>
      <c r="E91" s="20">
        <v>14147</v>
      </c>
      <c r="F91" s="25"/>
      <c r="G91" s="25"/>
      <c r="H91" s="25"/>
      <c r="I91" s="25"/>
      <c r="J91" s="22" t="s">
        <v>1129</v>
      </c>
    </row>
    <row r="92" spans="1:10" ht="14.25" customHeight="1" x14ac:dyDescent="0.35">
      <c r="A92" s="1" t="s">
        <v>1133</v>
      </c>
      <c r="B92" s="19" t="s">
        <v>58</v>
      </c>
      <c r="C92" s="25"/>
      <c r="D92" s="20">
        <v>-3797</v>
      </c>
      <c r="E92" s="20">
        <v>-1791</v>
      </c>
      <c r="F92" s="25"/>
      <c r="G92" s="25"/>
      <c r="H92" s="25"/>
      <c r="I92" s="25"/>
      <c r="J92" s="22" t="s">
        <v>1129</v>
      </c>
    </row>
    <row r="94" spans="1:10" ht="14.25" customHeight="1" x14ac:dyDescent="0.35">
      <c r="A94" s="13" t="s">
        <v>1134</v>
      </c>
      <c r="B94" s="18"/>
      <c r="C94" s="18"/>
      <c r="D94" s="18"/>
      <c r="E94" s="18"/>
      <c r="F94" s="18"/>
      <c r="G94" s="18"/>
      <c r="H94" s="18"/>
      <c r="I94" s="18"/>
      <c r="J94" s="18"/>
    </row>
    <row r="95" spans="1:10" ht="14.25" customHeight="1" x14ac:dyDescent="0.35">
      <c r="A95" s="1" t="s">
        <v>1135</v>
      </c>
      <c r="C95" s="118"/>
      <c r="J95" s="22" t="s">
        <v>1136</v>
      </c>
    </row>
    <row r="96" spans="1:10" ht="14.25" customHeight="1" x14ac:dyDescent="0.35">
      <c r="A96" s="1" t="s">
        <v>272</v>
      </c>
      <c r="C96" s="44"/>
      <c r="J96" s="22" t="s">
        <v>1137</v>
      </c>
    </row>
    <row r="97" spans="1:10" ht="14.25" customHeight="1" x14ac:dyDescent="0.35">
      <c r="A97" s="1" t="s">
        <v>1138</v>
      </c>
      <c r="C97" s="29">
        <v>710.4</v>
      </c>
      <c r="J97" s="22" t="s">
        <v>1139</v>
      </c>
    </row>
    <row r="98" spans="1:10" ht="14.25" customHeight="1" x14ac:dyDescent="0.35">
      <c r="A98" s="1" t="s">
        <v>1140</v>
      </c>
      <c r="C98" s="118">
        <v>7.44</v>
      </c>
      <c r="J98" s="22" t="s">
        <v>1141</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5"/>
  <sheetViews>
    <sheetView showGridLines="0" zoomScaleNormal="100" workbookViewId="0">
      <pane ySplit="4" topLeftCell="A5" activePane="bottomLeft" state="frozen"/>
      <selection pane="bottomLeft"/>
    </sheetView>
  </sheetViews>
  <sheetFormatPr defaultColWidth="8.6328125" defaultRowHeight="14.5" x14ac:dyDescent="0.35"/>
  <cols>
    <col min="1" max="1" width="5" customWidth="1"/>
    <col min="2" max="2" width="22" customWidth="1"/>
    <col min="3" max="5" width="55" customWidth="1"/>
    <col min="6" max="6" width="14" customWidth="1"/>
  </cols>
  <sheetData>
    <row r="1" spans="1:6" ht="17.25" customHeight="1" x14ac:dyDescent="0.4">
      <c r="A1" s="5" t="s">
        <v>808</v>
      </c>
    </row>
    <row r="2" spans="1:6" ht="15" customHeight="1" x14ac:dyDescent="0.35">
      <c r="A2" s="19" t="s">
        <v>809</v>
      </c>
    </row>
    <row r="4" spans="1:6" ht="15" customHeight="1" x14ac:dyDescent="0.35">
      <c r="A4" s="69" t="s">
        <v>129</v>
      </c>
      <c r="B4" s="70" t="s">
        <v>810</v>
      </c>
      <c r="C4" s="70" t="s">
        <v>811</v>
      </c>
      <c r="D4" s="70" t="s">
        <v>812</v>
      </c>
      <c r="E4" s="70" t="s">
        <v>813</v>
      </c>
      <c r="F4" s="69" t="s">
        <v>814</v>
      </c>
    </row>
    <row r="5" spans="1:6" ht="63.75" customHeight="1" x14ac:dyDescent="0.35">
      <c r="A5" s="3">
        <v>1</v>
      </c>
      <c r="B5" s="4" t="s">
        <v>815</v>
      </c>
      <c r="C5" s="3" t="s">
        <v>816</v>
      </c>
      <c r="D5" s="3" t="s">
        <v>817</v>
      </c>
      <c r="E5" s="3" t="s">
        <v>818</v>
      </c>
      <c r="F5" s="108" t="s">
        <v>819</v>
      </c>
    </row>
    <row r="6" spans="1:6" ht="63.75" customHeight="1" x14ac:dyDescent="0.35">
      <c r="A6" s="3">
        <v>2</v>
      </c>
      <c r="B6" s="4" t="s">
        <v>820</v>
      </c>
      <c r="C6" s="3" t="s">
        <v>821</v>
      </c>
      <c r="D6" s="3" t="s">
        <v>822</v>
      </c>
      <c r="E6" s="3" t="s">
        <v>823</v>
      </c>
      <c r="F6" s="108" t="s">
        <v>819</v>
      </c>
    </row>
    <row r="7" spans="1:6" ht="63.75" customHeight="1" x14ac:dyDescent="0.35">
      <c r="A7" s="3">
        <v>3</v>
      </c>
      <c r="B7" s="4" t="s">
        <v>824</v>
      </c>
      <c r="C7" s="3" t="s">
        <v>825</v>
      </c>
      <c r="D7" s="3" t="s">
        <v>826</v>
      </c>
      <c r="E7" s="3" t="s">
        <v>827</v>
      </c>
      <c r="F7" s="108" t="s">
        <v>819</v>
      </c>
    </row>
    <row r="8" spans="1:6" ht="63.75" customHeight="1" x14ac:dyDescent="0.35">
      <c r="A8" s="3">
        <v>4</v>
      </c>
      <c r="B8" s="4" t="s">
        <v>828</v>
      </c>
      <c r="C8" s="3" t="s">
        <v>829</v>
      </c>
      <c r="D8" s="3" t="s">
        <v>830</v>
      </c>
      <c r="E8" s="3" t="s">
        <v>831</v>
      </c>
      <c r="F8" s="108" t="s">
        <v>819</v>
      </c>
    </row>
    <row r="9" spans="1:6" ht="63.75" customHeight="1" x14ac:dyDescent="0.35">
      <c r="A9" s="3">
        <v>5</v>
      </c>
      <c r="B9" s="4" t="s">
        <v>832</v>
      </c>
      <c r="C9" s="3" t="s">
        <v>833</v>
      </c>
      <c r="D9" s="3" t="s">
        <v>834</v>
      </c>
      <c r="E9" s="3" t="s">
        <v>835</v>
      </c>
      <c r="F9" s="109" t="s">
        <v>836</v>
      </c>
    </row>
    <row r="10" spans="1:6" ht="63.75" customHeight="1" x14ac:dyDescent="0.35">
      <c r="A10" s="3">
        <v>6</v>
      </c>
      <c r="B10" s="4" t="s">
        <v>837</v>
      </c>
      <c r="C10" s="3" t="s">
        <v>838</v>
      </c>
      <c r="D10" s="3" t="s">
        <v>839</v>
      </c>
      <c r="E10" s="3" t="s">
        <v>840</v>
      </c>
      <c r="F10" s="109" t="s">
        <v>836</v>
      </c>
    </row>
    <row r="11" spans="1:6" ht="63.75" customHeight="1" x14ac:dyDescent="0.35">
      <c r="A11" s="3">
        <v>7</v>
      </c>
      <c r="B11" s="4" t="s">
        <v>841</v>
      </c>
      <c r="C11" s="3" t="s">
        <v>842</v>
      </c>
      <c r="D11" s="3" t="s">
        <v>843</v>
      </c>
      <c r="E11" s="3" t="s">
        <v>844</v>
      </c>
      <c r="F11" s="109" t="s">
        <v>836</v>
      </c>
    </row>
    <row r="12" spans="1:6" ht="63.75" customHeight="1" x14ac:dyDescent="0.35">
      <c r="A12" s="3">
        <v>8</v>
      </c>
      <c r="B12" s="4" t="s">
        <v>845</v>
      </c>
      <c r="C12" s="3" t="s">
        <v>846</v>
      </c>
      <c r="D12" s="3" t="s">
        <v>847</v>
      </c>
      <c r="E12" s="3" t="s">
        <v>848</v>
      </c>
      <c r="F12" s="108" t="s">
        <v>819</v>
      </c>
    </row>
    <row r="13" spans="1:6" ht="63.75" customHeight="1" x14ac:dyDescent="0.35">
      <c r="A13" s="3">
        <v>9</v>
      </c>
      <c r="B13" s="4" t="s">
        <v>849</v>
      </c>
      <c r="C13" s="3" t="s">
        <v>850</v>
      </c>
      <c r="D13" s="3" t="s">
        <v>851</v>
      </c>
      <c r="E13" s="3" t="s">
        <v>852</v>
      </c>
      <c r="F13" s="108" t="s">
        <v>819</v>
      </c>
    </row>
    <row r="14" spans="1:6" ht="63.75" customHeight="1" x14ac:dyDescent="0.35">
      <c r="A14" s="3">
        <v>10</v>
      </c>
      <c r="B14" s="4" t="s">
        <v>853</v>
      </c>
      <c r="C14" s="3" t="s">
        <v>854</v>
      </c>
      <c r="D14" s="3" t="s">
        <v>855</v>
      </c>
      <c r="E14" s="3" t="s">
        <v>856</v>
      </c>
      <c r="F14" s="108" t="s">
        <v>819</v>
      </c>
    </row>
    <row r="15" spans="1:6" ht="63.75" customHeight="1" x14ac:dyDescent="0.35">
      <c r="A15" s="3">
        <v>11</v>
      </c>
      <c r="B15" s="4" t="s">
        <v>857</v>
      </c>
      <c r="C15" s="3" t="s">
        <v>858</v>
      </c>
      <c r="D15" s="3" t="s">
        <v>859</v>
      </c>
      <c r="E15" s="3" t="s">
        <v>860</v>
      </c>
      <c r="F15" s="108" t="s">
        <v>819</v>
      </c>
    </row>
    <row r="16" spans="1:6" ht="63.75" customHeight="1" x14ac:dyDescent="0.35">
      <c r="A16" s="3">
        <v>12</v>
      </c>
      <c r="B16" s="4" t="s">
        <v>861</v>
      </c>
      <c r="C16" s="3" t="s">
        <v>862</v>
      </c>
      <c r="D16" s="3" t="s">
        <v>863</v>
      </c>
      <c r="E16" s="3" t="s">
        <v>864</v>
      </c>
      <c r="F16" s="108" t="s">
        <v>819</v>
      </c>
    </row>
    <row r="17" spans="1:6" ht="63.75" customHeight="1" x14ac:dyDescent="0.35">
      <c r="A17" s="3">
        <v>13</v>
      </c>
      <c r="B17" s="4" t="s">
        <v>865</v>
      </c>
      <c r="C17" s="3" t="s">
        <v>866</v>
      </c>
      <c r="D17" s="3" t="s">
        <v>867</v>
      </c>
      <c r="E17" s="3" t="s">
        <v>868</v>
      </c>
      <c r="F17" s="109" t="s">
        <v>836</v>
      </c>
    </row>
    <row r="18" spans="1:6" ht="63.75" customHeight="1" x14ac:dyDescent="0.35">
      <c r="A18" s="3">
        <v>14</v>
      </c>
      <c r="B18" s="4" t="s">
        <v>869</v>
      </c>
      <c r="C18" s="3" t="s">
        <v>870</v>
      </c>
      <c r="D18" s="3" t="s">
        <v>871</v>
      </c>
      <c r="E18" s="3" t="s">
        <v>840</v>
      </c>
      <c r="F18" s="109" t="s">
        <v>836</v>
      </c>
    </row>
    <row r="19" spans="1:6" ht="63.75" customHeight="1" x14ac:dyDescent="0.35">
      <c r="A19" s="3">
        <v>15</v>
      </c>
      <c r="B19" s="4" t="s">
        <v>872</v>
      </c>
      <c r="C19" s="3" t="s">
        <v>873</v>
      </c>
      <c r="D19" s="3" t="s">
        <v>874</v>
      </c>
      <c r="E19" s="3" t="s">
        <v>875</v>
      </c>
      <c r="F19" s="108" t="s">
        <v>819</v>
      </c>
    </row>
    <row r="20" spans="1:6" ht="63.75" customHeight="1" x14ac:dyDescent="0.35">
      <c r="A20" s="3">
        <v>16</v>
      </c>
      <c r="B20" s="4" t="s">
        <v>876</v>
      </c>
      <c r="C20" s="3" t="s">
        <v>877</v>
      </c>
      <c r="D20" s="3" t="s">
        <v>878</v>
      </c>
      <c r="E20" s="3" t="s">
        <v>879</v>
      </c>
      <c r="F20" s="108" t="s">
        <v>819</v>
      </c>
    </row>
    <row r="21" spans="1:6" ht="63.75" customHeight="1" x14ac:dyDescent="0.35">
      <c r="A21" s="3">
        <v>17</v>
      </c>
      <c r="B21" s="4" t="s">
        <v>880</v>
      </c>
      <c r="C21" s="3" t="s">
        <v>881</v>
      </c>
      <c r="D21" s="3" t="s">
        <v>882</v>
      </c>
      <c r="E21" s="3" t="s">
        <v>883</v>
      </c>
      <c r="F21" s="108" t="s">
        <v>819</v>
      </c>
    </row>
    <row r="22" spans="1:6" ht="63.75" customHeight="1" x14ac:dyDescent="0.35">
      <c r="A22" s="3">
        <v>18</v>
      </c>
      <c r="B22" s="4" t="s">
        <v>884</v>
      </c>
      <c r="C22" s="3" t="s">
        <v>885</v>
      </c>
      <c r="D22" s="3" t="s">
        <v>886</v>
      </c>
      <c r="E22" s="3" t="s">
        <v>887</v>
      </c>
      <c r="F22" s="110" t="s">
        <v>888</v>
      </c>
    </row>
    <row r="23" spans="1:6" ht="63.75" customHeight="1" x14ac:dyDescent="0.35">
      <c r="A23" s="3">
        <v>19</v>
      </c>
      <c r="B23" s="4" t="s">
        <v>889</v>
      </c>
      <c r="C23" s="3" t="s">
        <v>890</v>
      </c>
      <c r="D23" s="3" t="s">
        <v>891</v>
      </c>
      <c r="E23" s="3" t="s">
        <v>892</v>
      </c>
      <c r="F23" s="109" t="s">
        <v>836</v>
      </c>
    </row>
    <row r="24" spans="1:6" ht="63.75" customHeight="1" x14ac:dyDescent="0.35">
      <c r="A24" s="3">
        <v>20</v>
      </c>
      <c r="B24" s="4" t="s">
        <v>893</v>
      </c>
      <c r="C24" s="3" t="s">
        <v>894</v>
      </c>
      <c r="D24" s="3" t="s">
        <v>895</v>
      </c>
      <c r="E24" s="3" t="s">
        <v>896</v>
      </c>
      <c r="F24" s="110" t="s">
        <v>888</v>
      </c>
    </row>
    <row r="26" spans="1:6" ht="15" customHeight="1" x14ac:dyDescent="0.35">
      <c r="A26" s="13" t="s">
        <v>897</v>
      </c>
      <c r="B26" s="18"/>
      <c r="C26" s="18"/>
      <c r="D26" s="18"/>
      <c r="E26" s="18"/>
      <c r="F26" s="18"/>
    </row>
    <row r="27" spans="1:6" ht="15" customHeight="1" x14ac:dyDescent="0.35">
      <c r="A27" s="16" t="s">
        <v>129</v>
      </c>
      <c r="B27" s="17" t="s">
        <v>898</v>
      </c>
      <c r="C27" s="17" t="s">
        <v>899</v>
      </c>
      <c r="D27" s="17" t="s">
        <v>900</v>
      </c>
      <c r="E27" s="17" t="s">
        <v>901</v>
      </c>
      <c r="F27" s="17" t="s">
        <v>814</v>
      </c>
    </row>
    <row r="28" spans="1:6" ht="42.75" customHeight="1" x14ac:dyDescent="0.35">
      <c r="A28" s="3">
        <v>21</v>
      </c>
      <c r="B28" s="3" t="s">
        <v>902</v>
      </c>
      <c r="C28" s="3" t="s">
        <v>903</v>
      </c>
      <c r="D28" s="3" t="s">
        <v>904</v>
      </c>
      <c r="E28" s="3" t="s">
        <v>905</v>
      </c>
      <c r="F28" s="108" t="s">
        <v>819</v>
      </c>
    </row>
    <row r="29" spans="1:6" ht="42.75" customHeight="1" x14ac:dyDescent="0.35">
      <c r="A29" s="3">
        <v>22</v>
      </c>
      <c r="B29" s="3" t="s">
        <v>906</v>
      </c>
      <c r="C29" s="3" t="s">
        <v>907</v>
      </c>
      <c r="D29" s="3" t="s">
        <v>908</v>
      </c>
      <c r="E29" s="3" t="s">
        <v>909</v>
      </c>
      <c r="F29" s="109" t="s">
        <v>910</v>
      </c>
    </row>
    <row r="30" spans="1:6" ht="42.75" customHeight="1" x14ac:dyDescent="0.35">
      <c r="A30" s="3">
        <v>23</v>
      </c>
      <c r="B30" s="3" t="s">
        <v>911</v>
      </c>
      <c r="C30" s="3" t="s">
        <v>912</v>
      </c>
      <c r="D30" s="3" t="s">
        <v>913</v>
      </c>
      <c r="E30" s="3" t="s">
        <v>914</v>
      </c>
      <c r="F30" s="108" t="s">
        <v>819</v>
      </c>
    </row>
    <row r="31" spans="1:6" ht="42.75" customHeight="1" x14ac:dyDescent="0.35">
      <c r="A31" s="3">
        <v>24</v>
      </c>
      <c r="B31" s="3" t="s">
        <v>915</v>
      </c>
      <c r="C31" s="3" t="s">
        <v>916</v>
      </c>
      <c r="D31" s="3" t="s">
        <v>917</v>
      </c>
      <c r="E31" s="3" t="s">
        <v>918</v>
      </c>
      <c r="F31" s="108" t="s">
        <v>919</v>
      </c>
    </row>
    <row r="32" spans="1:6" ht="42.75" customHeight="1" x14ac:dyDescent="0.35">
      <c r="A32" s="3">
        <v>25</v>
      </c>
      <c r="B32" s="3" t="s">
        <v>920</v>
      </c>
      <c r="C32" s="3" t="s">
        <v>921</v>
      </c>
      <c r="D32" s="3" t="s">
        <v>922</v>
      </c>
      <c r="E32" s="3" t="s">
        <v>923</v>
      </c>
      <c r="F32" s="108" t="s">
        <v>919</v>
      </c>
    </row>
    <row r="33" spans="1:6" ht="42.75" customHeight="1" x14ac:dyDescent="0.35">
      <c r="A33" s="3">
        <v>26</v>
      </c>
      <c r="B33" s="3" t="s">
        <v>924</v>
      </c>
      <c r="C33" s="3" t="s">
        <v>925</v>
      </c>
      <c r="D33" s="3" t="s">
        <v>926</v>
      </c>
      <c r="E33" s="3" t="s">
        <v>927</v>
      </c>
      <c r="F33" s="108" t="s">
        <v>819</v>
      </c>
    </row>
    <row r="34" spans="1:6" ht="30" customHeight="1" x14ac:dyDescent="0.35">
      <c r="A34" s="3">
        <v>27</v>
      </c>
      <c r="B34" s="3" t="s">
        <v>928</v>
      </c>
      <c r="C34" s="3" t="s">
        <v>925</v>
      </c>
      <c r="D34" s="3" t="s">
        <v>917</v>
      </c>
      <c r="E34" s="3" t="s">
        <v>929</v>
      </c>
      <c r="F34" s="108" t="s">
        <v>919</v>
      </c>
    </row>
    <row r="35" spans="1:6" ht="42.75" customHeight="1" x14ac:dyDescent="0.35">
      <c r="A35" s="3">
        <v>28</v>
      </c>
      <c r="B35" s="3" t="s">
        <v>930</v>
      </c>
      <c r="C35" s="3" t="s">
        <v>931</v>
      </c>
      <c r="D35" s="3" t="s">
        <v>932</v>
      </c>
      <c r="E35" s="3" t="s">
        <v>933</v>
      </c>
      <c r="F35" s="108" t="s">
        <v>919</v>
      </c>
    </row>
    <row r="36" spans="1:6" ht="55.5" customHeight="1" x14ac:dyDescent="0.35">
      <c r="A36" s="3">
        <v>29</v>
      </c>
      <c r="B36" s="3" t="s">
        <v>934</v>
      </c>
      <c r="C36" s="3" t="s">
        <v>935</v>
      </c>
      <c r="D36" s="3" t="s">
        <v>936</v>
      </c>
      <c r="E36" s="3" t="s">
        <v>937</v>
      </c>
      <c r="F36" s="111" t="s">
        <v>938</v>
      </c>
    </row>
    <row r="37" spans="1:6" ht="30" customHeight="1" x14ac:dyDescent="0.35">
      <c r="A37" s="3">
        <v>30</v>
      </c>
      <c r="B37" s="3" t="s">
        <v>939</v>
      </c>
      <c r="C37" s="3" t="s">
        <v>940</v>
      </c>
      <c r="D37" s="3" t="s">
        <v>941</v>
      </c>
      <c r="E37" s="3" t="s">
        <v>942</v>
      </c>
      <c r="F37" s="108" t="s">
        <v>819</v>
      </c>
    </row>
    <row r="38" spans="1:6" ht="30" customHeight="1" x14ac:dyDescent="0.35">
      <c r="A38" s="3">
        <v>31</v>
      </c>
      <c r="B38" s="3" t="s">
        <v>943</v>
      </c>
      <c r="C38" s="3" t="s">
        <v>944</v>
      </c>
      <c r="D38" s="3" t="s">
        <v>945</v>
      </c>
      <c r="E38" s="3" t="s">
        <v>946</v>
      </c>
      <c r="F38" s="108" t="s">
        <v>919</v>
      </c>
    </row>
    <row r="39" spans="1:6" ht="30" customHeight="1" x14ac:dyDescent="0.35">
      <c r="A39" s="3">
        <v>32</v>
      </c>
      <c r="B39" s="3" t="s">
        <v>947</v>
      </c>
      <c r="C39" s="3" t="s">
        <v>948</v>
      </c>
      <c r="D39" s="3" t="s">
        <v>949</v>
      </c>
      <c r="E39" s="3" t="s">
        <v>950</v>
      </c>
      <c r="F39" s="108" t="s">
        <v>819</v>
      </c>
    </row>
    <row r="40" spans="1:6" ht="55.5" customHeight="1" x14ac:dyDescent="0.35">
      <c r="A40" s="3">
        <v>33</v>
      </c>
      <c r="B40" s="3" t="s">
        <v>951</v>
      </c>
      <c r="C40" s="3" t="s">
        <v>952</v>
      </c>
      <c r="D40" s="3" t="s">
        <v>895</v>
      </c>
      <c r="E40" s="3" t="s">
        <v>953</v>
      </c>
      <c r="F40" s="111" t="s">
        <v>954</v>
      </c>
    </row>
    <row r="43" spans="1:6" ht="15" customHeight="1" x14ac:dyDescent="0.35">
      <c r="A43" s="13" t="s">
        <v>955</v>
      </c>
      <c r="B43" s="18"/>
      <c r="C43" s="18"/>
      <c r="D43" s="18"/>
      <c r="E43" s="18"/>
      <c r="F43" s="18"/>
    </row>
    <row r="44" spans="1:6" ht="25.5" customHeight="1" x14ac:dyDescent="0.35">
      <c r="B44" s="126" t="s">
        <v>956</v>
      </c>
      <c r="C44" s="126"/>
      <c r="D44" s="26">
        <v>251.08</v>
      </c>
      <c r="E44" s="33" t="s">
        <v>957</v>
      </c>
    </row>
    <row r="45" spans="1:6" ht="25.5" customHeight="1" x14ac:dyDescent="0.35">
      <c r="B45" s="125" t="s">
        <v>958</v>
      </c>
      <c r="C45" s="125"/>
      <c r="D45" s="26">
        <v>-16.852799999999998</v>
      </c>
      <c r="E45" s="33" t="s">
        <v>959</v>
      </c>
    </row>
    <row r="46" spans="1:6" ht="25.5" customHeight="1" x14ac:dyDescent="0.35">
      <c r="B46" s="125" t="s">
        <v>960</v>
      </c>
      <c r="C46" s="125"/>
      <c r="D46" s="26">
        <v>8.7099999999999997E-2</v>
      </c>
      <c r="E46" s="33" t="s">
        <v>961</v>
      </c>
    </row>
    <row r="47" spans="1:6" ht="25.5" customHeight="1" x14ac:dyDescent="0.35">
      <c r="B47" s="126" t="s">
        <v>962</v>
      </c>
      <c r="C47" s="126"/>
      <c r="D47" s="112">
        <v>234.3133</v>
      </c>
    </row>
    <row r="48" spans="1:6" ht="25.5" customHeight="1" x14ac:dyDescent="0.35">
      <c r="B48" s="125" t="s">
        <v>963</v>
      </c>
      <c r="C48" s="125"/>
      <c r="D48" s="54">
        <f>D44+D45+D46-D47</f>
        <v>1.0000000000047748E-3</v>
      </c>
    </row>
    <row r="51" spans="1:6" ht="15" customHeight="1" x14ac:dyDescent="0.35">
      <c r="A51" s="13" t="s">
        <v>964</v>
      </c>
      <c r="B51" s="18"/>
      <c r="C51" s="18"/>
      <c r="D51" s="18"/>
      <c r="E51" s="18"/>
      <c r="F51" s="18"/>
    </row>
    <row r="52" spans="1:6" ht="15" customHeight="1" x14ac:dyDescent="0.35">
      <c r="A52" s="16" t="s">
        <v>129</v>
      </c>
      <c r="B52" s="17" t="s">
        <v>965</v>
      </c>
      <c r="C52" s="17" t="s">
        <v>899</v>
      </c>
      <c r="D52" s="17" t="s">
        <v>900</v>
      </c>
      <c r="E52" s="17" t="s">
        <v>901</v>
      </c>
      <c r="F52" s="17" t="s">
        <v>814</v>
      </c>
    </row>
    <row r="53" spans="1:6" ht="55.5" customHeight="1" x14ac:dyDescent="0.35">
      <c r="A53" s="3">
        <v>34</v>
      </c>
      <c r="B53" s="3" t="s">
        <v>966</v>
      </c>
      <c r="C53" s="3" t="s">
        <v>967</v>
      </c>
      <c r="D53" s="3" t="s">
        <v>968</v>
      </c>
      <c r="E53" s="3" t="s">
        <v>969</v>
      </c>
      <c r="F53" s="108" t="s">
        <v>819</v>
      </c>
    </row>
    <row r="54" spans="1:6" ht="30" customHeight="1" x14ac:dyDescent="0.35">
      <c r="A54" s="3">
        <v>35</v>
      </c>
      <c r="B54" s="3" t="s">
        <v>970</v>
      </c>
      <c r="C54" s="3" t="s">
        <v>971</v>
      </c>
      <c r="D54" s="3" t="s">
        <v>972</v>
      </c>
      <c r="E54" s="3" t="s">
        <v>973</v>
      </c>
      <c r="F54" s="108" t="s">
        <v>819</v>
      </c>
    </row>
    <row r="55" spans="1:6" ht="30" customHeight="1" x14ac:dyDescent="0.35">
      <c r="A55" s="3">
        <v>36</v>
      </c>
      <c r="B55" s="3" t="s">
        <v>974</v>
      </c>
      <c r="C55" s="3" t="s">
        <v>975</v>
      </c>
      <c r="D55" s="3" t="s">
        <v>895</v>
      </c>
      <c r="E55" s="3" t="s">
        <v>976</v>
      </c>
      <c r="F55" s="108" t="s">
        <v>819</v>
      </c>
    </row>
    <row r="56" spans="1:6" ht="55.5" customHeight="1" x14ac:dyDescent="0.35">
      <c r="A56" s="3">
        <v>37</v>
      </c>
      <c r="B56" s="3" t="s">
        <v>977</v>
      </c>
      <c r="C56" s="3" t="s">
        <v>978</v>
      </c>
      <c r="D56" s="3" t="s">
        <v>979</v>
      </c>
      <c r="E56" s="3" t="s">
        <v>980</v>
      </c>
      <c r="F56" s="110" t="s">
        <v>888</v>
      </c>
    </row>
    <row r="57" spans="1:6" ht="42.75" customHeight="1" x14ac:dyDescent="0.35">
      <c r="A57" s="3">
        <v>38</v>
      </c>
      <c r="B57" s="3" t="s">
        <v>981</v>
      </c>
      <c r="C57" s="3" t="s">
        <v>982</v>
      </c>
      <c r="D57" s="3" t="s">
        <v>983</v>
      </c>
      <c r="E57" s="3" t="s">
        <v>984</v>
      </c>
      <c r="F57" s="108" t="s">
        <v>819</v>
      </c>
    </row>
    <row r="58" spans="1:6" ht="55.5" customHeight="1" x14ac:dyDescent="0.35">
      <c r="A58" s="3">
        <v>39</v>
      </c>
      <c r="B58" s="3" t="s">
        <v>985</v>
      </c>
      <c r="C58" s="3" t="s">
        <v>986</v>
      </c>
      <c r="D58" s="3" t="s">
        <v>895</v>
      </c>
      <c r="E58" s="3" t="s">
        <v>987</v>
      </c>
      <c r="F58" s="113" t="s">
        <v>988</v>
      </c>
    </row>
    <row r="59" spans="1:6" ht="30" customHeight="1" x14ac:dyDescent="0.35">
      <c r="A59" s="3">
        <v>40</v>
      </c>
      <c r="B59" s="3" t="s">
        <v>989</v>
      </c>
      <c r="C59" s="3" t="s">
        <v>990</v>
      </c>
      <c r="D59" s="3" t="s">
        <v>991</v>
      </c>
      <c r="E59" s="3" t="s">
        <v>992</v>
      </c>
      <c r="F59" s="109" t="s">
        <v>910</v>
      </c>
    </row>
    <row r="60" spans="1:6" ht="42.75" customHeight="1" x14ac:dyDescent="0.35">
      <c r="A60" s="3">
        <v>41</v>
      </c>
      <c r="B60" s="3" t="s">
        <v>993</v>
      </c>
      <c r="C60" s="3" t="s">
        <v>994</v>
      </c>
      <c r="D60" s="3" t="s">
        <v>917</v>
      </c>
      <c r="E60" s="3" t="s">
        <v>995</v>
      </c>
      <c r="F60" s="108" t="s">
        <v>919</v>
      </c>
    </row>
    <row r="61" spans="1:6" ht="55.5" customHeight="1" x14ac:dyDescent="0.35">
      <c r="A61" s="3">
        <v>42</v>
      </c>
      <c r="B61" s="3" t="s">
        <v>996</v>
      </c>
      <c r="C61" s="3" t="s">
        <v>997</v>
      </c>
      <c r="D61" s="3" t="s">
        <v>998</v>
      </c>
      <c r="E61" s="3" t="s">
        <v>999</v>
      </c>
      <c r="F61" s="108" t="s">
        <v>919</v>
      </c>
    </row>
    <row r="62" spans="1:6" ht="30" customHeight="1" x14ac:dyDescent="0.35">
      <c r="A62" s="3">
        <v>43</v>
      </c>
      <c r="B62" s="3" t="s">
        <v>1000</v>
      </c>
      <c r="C62" s="3" t="s">
        <v>1001</v>
      </c>
      <c r="D62" s="3" t="s">
        <v>1002</v>
      </c>
      <c r="E62" s="3" t="s">
        <v>1003</v>
      </c>
      <c r="F62" s="108" t="s">
        <v>819</v>
      </c>
    </row>
    <row r="64" spans="1:6" ht="15" customHeight="1" x14ac:dyDescent="0.35">
      <c r="A64" s="13" t="s">
        <v>1004</v>
      </c>
      <c r="B64" s="18"/>
      <c r="C64" s="18"/>
      <c r="D64" s="18"/>
      <c r="E64" s="18"/>
      <c r="F64" s="18"/>
    </row>
    <row r="65" spans="1:6" ht="15" customHeight="1" x14ac:dyDescent="0.35">
      <c r="B65" s="124" t="s">
        <v>962</v>
      </c>
      <c r="C65" s="124"/>
      <c r="D65" s="26">
        <v>234.3133</v>
      </c>
    </row>
    <row r="66" spans="1:6" ht="15" customHeight="1" x14ac:dyDescent="0.35">
      <c r="B66" s="123" t="s">
        <v>1005</v>
      </c>
      <c r="C66" s="123"/>
      <c r="D66" s="26">
        <v>17.699400000000001</v>
      </c>
      <c r="E66" s="33" t="s">
        <v>1006</v>
      </c>
    </row>
    <row r="67" spans="1:6" ht="15" customHeight="1" x14ac:dyDescent="0.35">
      <c r="B67" s="124" t="s">
        <v>1007</v>
      </c>
      <c r="C67" s="124"/>
      <c r="D67" s="112">
        <v>252.01259999999999</v>
      </c>
    </row>
    <row r="68" spans="1:6" ht="15" customHeight="1" x14ac:dyDescent="0.35">
      <c r="B68" s="123" t="s">
        <v>1008</v>
      </c>
      <c r="C68" s="123"/>
      <c r="D68" s="54">
        <f>D65+D66-D67</f>
        <v>1.0000000000331966E-4</v>
      </c>
    </row>
    <row r="70" spans="1:6" ht="15" customHeight="1" x14ac:dyDescent="0.35">
      <c r="A70" s="13" t="s">
        <v>1009</v>
      </c>
      <c r="B70" s="18"/>
      <c r="C70" s="18"/>
      <c r="D70" s="18"/>
      <c r="E70" s="18"/>
      <c r="F70" s="18"/>
    </row>
    <row r="71" spans="1:6" ht="15" customHeight="1" x14ac:dyDescent="0.35">
      <c r="A71" s="16" t="s">
        <v>129</v>
      </c>
      <c r="B71" s="17" t="s">
        <v>898</v>
      </c>
      <c r="C71" s="17" t="s">
        <v>1010</v>
      </c>
      <c r="D71" s="17" t="s">
        <v>900</v>
      </c>
      <c r="E71" s="17" t="s">
        <v>901</v>
      </c>
      <c r="F71" s="17" t="s">
        <v>814</v>
      </c>
    </row>
    <row r="72" spans="1:6" ht="42.75" customHeight="1" x14ac:dyDescent="0.35">
      <c r="A72" s="3">
        <v>44</v>
      </c>
      <c r="B72" s="3" t="s">
        <v>1011</v>
      </c>
      <c r="C72" s="3" t="s">
        <v>1012</v>
      </c>
      <c r="D72" s="3" t="s">
        <v>1013</v>
      </c>
      <c r="E72" s="3" t="s">
        <v>1014</v>
      </c>
      <c r="F72" s="108" t="s">
        <v>819</v>
      </c>
    </row>
    <row r="73" spans="1:6" ht="30" customHeight="1" x14ac:dyDescent="0.35">
      <c r="A73" s="3">
        <v>45</v>
      </c>
      <c r="B73" s="3" t="s">
        <v>1015</v>
      </c>
      <c r="C73" s="3" t="s">
        <v>1016</v>
      </c>
      <c r="D73" s="3" t="s">
        <v>1017</v>
      </c>
      <c r="E73" s="3" t="s">
        <v>1018</v>
      </c>
      <c r="F73" s="108" t="s">
        <v>819</v>
      </c>
    </row>
    <row r="74" spans="1:6" ht="42.75" customHeight="1" x14ac:dyDescent="0.35">
      <c r="A74" s="3">
        <v>46</v>
      </c>
      <c r="B74" s="3" t="s">
        <v>1019</v>
      </c>
      <c r="C74" s="3" t="s">
        <v>1020</v>
      </c>
      <c r="D74" s="3" t="s">
        <v>1021</v>
      </c>
      <c r="E74" s="3" t="s">
        <v>1022</v>
      </c>
      <c r="F74" s="108" t="s">
        <v>819</v>
      </c>
    </row>
    <row r="75" spans="1:6" ht="42.75" customHeight="1" x14ac:dyDescent="0.35">
      <c r="A75" s="3">
        <v>47</v>
      </c>
      <c r="B75" s="3" t="s">
        <v>1023</v>
      </c>
      <c r="C75" s="3" t="s">
        <v>1024</v>
      </c>
      <c r="D75" s="3" t="s">
        <v>1025</v>
      </c>
      <c r="E75" s="3" t="s">
        <v>1026</v>
      </c>
      <c r="F75" s="108" t="s">
        <v>919</v>
      </c>
    </row>
    <row r="77" spans="1:6" ht="15" customHeight="1" x14ac:dyDescent="0.35">
      <c r="A77" s="13" t="s">
        <v>1027</v>
      </c>
      <c r="B77" s="18"/>
      <c r="C77" s="18"/>
      <c r="D77" s="18"/>
      <c r="E77" s="18"/>
      <c r="F77" s="18"/>
    </row>
    <row r="78" spans="1:6" ht="15" customHeight="1" x14ac:dyDescent="0.35">
      <c r="B78" s="124" t="s">
        <v>1007</v>
      </c>
      <c r="C78" s="124"/>
      <c r="D78" s="26">
        <v>252.01259999999999</v>
      </c>
    </row>
    <row r="79" spans="1:6" ht="15" customHeight="1" x14ac:dyDescent="0.35">
      <c r="B79" s="123" t="s">
        <v>1028</v>
      </c>
      <c r="C79" s="123"/>
      <c r="D79" s="26">
        <v>-2.7178</v>
      </c>
    </row>
    <row r="80" spans="1:6" ht="15" customHeight="1" x14ac:dyDescent="0.35">
      <c r="B80" s="124" t="s">
        <v>1029</v>
      </c>
      <c r="C80" s="124"/>
      <c r="D80" s="112">
        <v>249.29480000000001</v>
      </c>
    </row>
    <row r="81" spans="1:6" ht="15" customHeight="1" x14ac:dyDescent="0.35">
      <c r="B81" s="123" t="s">
        <v>1008</v>
      </c>
      <c r="C81" s="123"/>
      <c r="D81" s="54">
        <f>D78+D79-D80</f>
        <v>0</v>
      </c>
    </row>
    <row r="83" spans="1:6" ht="15" customHeight="1" x14ac:dyDescent="0.35">
      <c r="A83" s="13" t="s">
        <v>1030</v>
      </c>
      <c r="B83" s="18"/>
      <c r="C83" s="18"/>
      <c r="D83" s="18"/>
      <c r="E83" s="18"/>
      <c r="F83" s="18"/>
    </row>
    <row r="84" spans="1:6" ht="15" customHeight="1" x14ac:dyDescent="0.35">
      <c r="A84" s="16" t="s">
        <v>129</v>
      </c>
      <c r="B84" s="17" t="s">
        <v>898</v>
      </c>
      <c r="C84" s="17" t="s">
        <v>1010</v>
      </c>
      <c r="D84" s="17" t="s">
        <v>900</v>
      </c>
      <c r="E84" s="17" t="s">
        <v>901</v>
      </c>
      <c r="F84" s="17" t="s">
        <v>814</v>
      </c>
    </row>
    <row r="85" spans="1:6" ht="109.5" customHeight="1" x14ac:dyDescent="0.35">
      <c r="A85" s="3">
        <v>48</v>
      </c>
      <c r="B85" s="3" t="s">
        <v>1031</v>
      </c>
      <c r="C85" s="3" t="s">
        <v>1032</v>
      </c>
      <c r="D85" s="3" t="s">
        <v>1033</v>
      </c>
      <c r="E85" s="3" t="s">
        <v>1034</v>
      </c>
      <c r="F85" s="108" t="s">
        <v>819</v>
      </c>
    </row>
    <row r="87" spans="1:6" ht="15" customHeight="1" x14ac:dyDescent="0.35">
      <c r="A87" s="13" t="s">
        <v>1035</v>
      </c>
      <c r="B87" s="18"/>
      <c r="C87" s="18"/>
      <c r="D87" s="18"/>
      <c r="E87" s="18"/>
      <c r="F87" s="18"/>
    </row>
    <row r="88" spans="1:6" ht="15" customHeight="1" x14ac:dyDescent="0.35">
      <c r="B88" s="124" t="s">
        <v>1029</v>
      </c>
      <c r="C88" s="124"/>
      <c r="D88" s="26">
        <v>249.29480000000001</v>
      </c>
    </row>
    <row r="89" spans="1:6" ht="15" customHeight="1" x14ac:dyDescent="0.35">
      <c r="B89" s="123" t="s">
        <v>1036</v>
      </c>
      <c r="C89" s="123"/>
      <c r="D89" s="39">
        <f>Valuation!B8*(Comps!D31-250.5538)</f>
        <v>-0.96722187173453456</v>
      </c>
    </row>
    <row r="90" spans="1:6" ht="15" customHeight="1" x14ac:dyDescent="0.35">
      <c r="B90" s="123" t="s">
        <v>1037</v>
      </c>
      <c r="C90" s="123"/>
      <c r="D90" s="39">
        <f>Valuation!B7*(Valuation!B5-248.4555)</f>
        <v>0.24997107725342857</v>
      </c>
    </row>
    <row r="91" spans="1:6" ht="15" customHeight="1" x14ac:dyDescent="0.35">
      <c r="B91" s="124" t="s">
        <v>1038</v>
      </c>
      <c r="C91" s="124"/>
      <c r="D91" s="78">
        <f>Valuation!B9</f>
        <v>248.5775692055189</v>
      </c>
    </row>
    <row r="92" spans="1:6" ht="15" customHeight="1" x14ac:dyDescent="0.35">
      <c r="B92" s="123" t="s">
        <v>1008</v>
      </c>
      <c r="C92" s="123"/>
      <c r="D92" s="54">
        <f>D88+D89+D90-D91</f>
        <v>-1.9999999977926564E-5</v>
      </c>
    </row>
    <row r="94" spans="1:6" ht="15" customHeight="1" x14ac:dyDescent="0.35">
      <c r="A94" s="13" t="s">
        <v>1039</v>
      </c>
      <c r="B94" s="18"/>
      <c r="C94" s="18"/>
      <c r="D94" s="18"/>
      <c r="E94" s="18"/>
      <c r="F94" s="18"/>
    </row>
    <row r="95" spans="1:6" ht="30" customHeight="1" x14ac:dyDescent="0.35">
      <c r="B95" s="125" t="s">
        <v>1040</v>
      </c>
      <c r="C95" s="125"/>
      <c r="D95" s="125"/>
      <c r="E95" s="125"/>
      <c r="F95" s="125"/>
    </row>
  </sheetData>
  <mergeCells count="19">
    <mergeCell ref="B44:C44"/>
    <mergeCell ref="B45:C45"/>
    <mergeCell ref="B46:C46"/>
    <mergeCell ref="B47:C47"/>
    <mergeCell ref="B48:C48"/>
    <mergeCell ref="B65:C65"/>
    <mergeCell ref="B66:C66"/>
    <mergeCell ref="B67:C67"/>
    <mergeCell ref="B68:C68"/>
    <mergeCell ref="B78:C78"/>
    <mergeCell ref="B90:C90"/>
    <mergeCell ref="B91:C91"/>
    <mergeCell ref="B92:C92"/>
    <mergeCell ref="B95:F95"/>
    <mergeCell ref="B79:C79"/>
    <mergeCell ref="B80:C80"/>
    <mergeCell ref="B81:C81"/>
    <mergeCell ref="B88:C88"/>
    <mergeCell ref="B89:C8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Valuation</vt:lpstr>
      <vt:lpstr>DCF</vt:lpstr>
      <vt:lpstr>Forecast</vt:lpstr>
      <vt:lpstr>Market_WACC</vt:lpstr>
      <vt:lpstr>WACC</vt:lpstr>
      <vt:lpstr>Comps</vt:lpstr>
      <vt:lpstr>Peers</vt:lpstr>
      <vt:lpstr>Historical_5Y</vt:lpstr>
      <vt:lpstr>Historical_Drivers</vt:lpstr>
      <vt:lpstr>Industry_Evidence</vt:lpstr>
      <vt:lpstr>Reference_Data</vt:lpstr>
      <vt:lpstr>Model_Review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William Challma</cp:lastModifiedBy>
  <cp:revision>0</cp:revision>
  <dcterms:created xsi:type="dcterms:W3CDTF">2026-09-24T13:17:15Z</dcterms:created>
  <dcterms:modified xsi:type="dcterms:W3CDTF">2026-09-27T18:01:45Z</dcterms:modified>
  <dc:language>en-US</dc:language>
</cp:coreProperties>
</file>